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ytu\Downloads\"/>
    </mc:Choice>
  </mc:AlternateContent>
  <xr:revisionPtr revIDLastSave="0" documentId="13_ncr:1_{9818E128-8AB6-4CBA-8B82-69CDAF2475D2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current repo rate" sheetId="4" r:id="rId1"/>
    <sheet name="Lagged Repo Rate" sheetId="5" r:id="rId2"/>
    <sheet name="Multiple Regression" sheetId="7" r:id="rId3"/>
    <sheet name="Inflation" sheetId="8" r:id="rId4"/>
    <sheet name="Chart1" sheetId="10" r:id="rId5"/>
    <sheet name="Data Sheet" sheetId="2" r:id="rId6"/>
    <sheet name="Visualization" sheetId="9" r:id="rId7"/>
  </sheets>
  <definedNames>
    <definedName name="_xlnm._FilterDatabase" localSheetId="5" hidden="1">'Data Sheet'!$A$1:$D$131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33" i="9" l="1"/>
  <c r="X134" i="9" s="1"/>
  <c r="X135" i="9" s="1"/>
  <c r="X136" i="9" s="1"/>
  <c r="X137" i="9" s="1"/>
  <c r="X138" i="9" s="1"/>
  <c r="X139" i="9" s="1"/>
  <c r="C138" i="2"/>
  <c r="C137" i="2"/>
  <c r="C136" i="2"/>
  <c r="C135" i="2"/>
  <c r="C134" i="2"/>
  <c r="C133" i="2"/>
  <c r="C132" i="2"/>
  <c r="A132" i="2"/>
  <c r="A133" i="2" s="1"/>
  <c r="A134" i="2" s="1"/>
  <c r="A135" i="2" s="1"/>
  <c r="A136" i="2" s="1"/>
  <c r="A137" i="2" s="1"/>
  <c r="A138" i="2" s="1"/>
  <c r="F3" i="2"/>
  <c r="G131" i="2" l="1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<sst xmlns="http://schemas.openxmlformats.org/spreadsheetml/2006/main" count="126" uniqueCount="44">
  <si>
    <t>Date</t>
  </si>
  <si>
    <t>Policy Repo Rate</t>
  </si>
  <si>
    <t xml:space="preserve">Weighted Average Lending Rate </t>
  </si>
  <si>
    <t>CPI Inflation rate</t>
  </si>
  <si>
    <t>Repo rate(T-1)</t>
  </si>
  <si>
    <t>WALR(t-1)</t>
  </si>
  <si>
    <t>Inflation(t-1)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</si>
  <si>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</si>
  <si>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</si>
  <si>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</si>
  <si>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</si>
  <si>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</si>
  <si>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</si>
  <si>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</si>
  <si>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</si>
  <si>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</si>
  <si>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</si>
  <si>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</si>
  <si>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</si>
  <si>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</si>
  <si>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</si>
  <si>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</si>
  <si>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</si>
  <si>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</si>
  <si>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</si>
  <si>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</si>
  <si>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</si>
  <si>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</si>
  <si>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</si>
  <si>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</si>
  <si>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</si>
  <si>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</si>
  <si>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</si>
  <si>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7.49</t>
  </si>
  <si>
    <t>Residuals</t>
  </si>
  <si>
    <t>MODEL -</t>
  </si>
  <si>
    <t>MODEL-</t>
  </si>
  <si>
    <r>
      <rPr>
        <b/>
        <sz val="11"/>
        <color rgb="FF000000"/>
        <rFont val="Arial"/>
        <family val="2"/>
      </rPr>
      <t>WALR</t>
    </r>
    <r>
      <rPr>
        <b/>
        <vertAlign val="subscript"/>
        <sz val="11"/>
        <color rgb="FF000000"/>
        <rFont val="Arial"/>
        <family val="2"/>
      </rPr>
      <t>t</t>
    </r>
    <r>
      <rPr>
        <b/>
        <sz val="11"/>
        <color rgb="FF000000"/>
        <rFont val="Arial"/>
        <family val="2"/>
      </rPr>
      <t>​=γ</t>
    </r>
    <r>
      <rPr>
        <b/>
        <vertAlign val="subscript"/>
        <sz val="11"/>
        <color rgb="FF000000"/>
        <rFont val="Arial"/>
        <family val="2"/>
      </rPr>
      <t>0</t>
    </r>
    <r>
      <rPr>
        <b/>
        <sz val="11"/>
        <color rgb="FF000000"/>
        <rFont val="Arial"/>
        <family val="2"/>
      </rPr>
      <t>​+γ</t>
    </r>
    <r>
      <rPr>
        <b/>
        <vertAlign val="subscript"/>
        <sz val="11"/>
        <color rgb="FF000000"/>
        <rFont val="Arial"/>
        <family val="2"/>
      </rPr>
      <t>1​</t>
    </r>
    <r>
      <rPr>
        <b/>
        <sz val="11"/>
        <color rgb="FF000000"/>
        <rFont val="Arial"/>
        <family val="2"/>
      </rPr>
      <t>Repo</t>
    </r>
    <r>
      <rPr>
        <b/>
        <vertAlign val="subscript"/>
        <sz val="11"/>
        <color rgb="FF000000"/>
        <rFont val="Arial"/>
        <family val="2"/>
      </rPr>
      <t>t​</t>
    </r>
    <r>
      <rPr>
        <b/>
        <sz val="11"/>
        <color rgb="FF000000"/>
        <rFont val="Arial"/>
        <family val="2"/>
      </rPr>
      <t>+γ</t>
    </r>
    <r>
      <rPr>
        <b/>
        <vertAlign val="subscript"/>
        <sz val="11"/>
        <color rgb="FF000000"/>
        <rFont val="Arial"/>
        <family val="2"/>
      </rPr>
      <t>2​</t>
    </r>
    <r>
      <rPr>
        <b/>
        <sz val="11"/>
        <color rgb="FF000000"/>
        <rFont val="Arial"/>
        <family val="2"/>
      </rPr>
      <t>Repo</t>
    </r>
    <r>
      <rPr>
        <b/>
        <vertAlign val="subscript"/>
        <sz val="11"/>
        <color rgb="FF000000"/>
        <rFont val="Arial"/>
        <family val="2"/>
      </rPr>
      <t>t−1​</t>
    </r>
    <r>
      <rPr>
        <b/>
        <sz val="11"/>
        <color rgb="FF000000"/>
        <rFont val="Arial"/>
        <family val="2"/>
      </rPr>
      <t>+u</t>
    </r>
    <r>
      <rPr>
        <b/>
        <vertAlign val="subscript"/>
        <sz val="11"/>
        <color rgb="FF000000"/>
        <rFont val="Arial"/>
        <family val="2"/>
      </rPr>
      <t>t</t>
    </r>
    <r>
      <rPr>
        <b/>
        <sz val="11"/>
        <color rgb="FF000000"/>
        <rFont val="Arial"/>
        <family val="2"/>
      </rPr>
      <t>​</t>
    </r>
  </si>
  <si>
    <r>
      <rPr>
        <b/>
        <sz val="11"/>
        <color rgb="FF000000"/>
        <rFont val="Arial"/>
        <family val="2"/>
      </rPr>
      <t>Inflation</t>
    </r>
    <r>
      <rPr>
        <b/>
        <vertAlign val="subscript"/>
        <sz val="11"/>
        <color rgb="FF000000"/>
        <rFont val="Arial"/>
        <family val="2"/>
      </rPr>
      <t>t</t>
    </r>
    <r>
      <rPr>
        <b/>
        <sz val="11"/>
        <color rgb="FF000000"/>
        <rFont val="Arial"/>
        <family val="2"/>
      </rPr>
      <t>​=δ</t>
    </r>
    <r>
      <rPr>
        <b/>
        <vertAlign val="subscript"/>
        <sz val="11"/>
        <color rgb="FF000000"/>
        <rFont val="Arial"/>
        <family val="2"/>
      </rPr>
      <t>0​</t>
    </r>
    <r>
      <rPr>
        <b/>
        <sz val="11"/>
        <color rgb="FF000000"/>
        <rFont val="Arial"/>
        <family val="2"/>
      </rPr>
      <t>+δ</t>
    </r>
    <r>
      <rPr>
        <b/>
        <vertAlign val="subscript"/>
        <sz val="11"/>
        <color rgb="FF000000"/>
        <rFont val="Arial"/>
        <family val="2"/>
      </rPr>
      <t>1</t>
    </r>
    <r>
      <rPr>
        <b/>
        <sz val="11"/>
        <color rgb="FF000000"/>
        <rFont val="Arial"/>
        <family val="2"/>
      </rPr>
      <t>​WALR</t>
    </r>
    <r>
      <rPr>
        <b/>
        <vertAlign val="subscript"/>
        <sz val="11"/>
        <color rgb="FF000000"/>
        <rFont val="Arial"/>
        <family val="2"/>
      </rPr>
      <t>t−1</t>
    </r>
    <r>
      <rPr>
        <b/>
        <sz val="11"/>
        <color rgb="FF000000"/>
        <rFont val="Arial"/>
        <family val="2"/>
      </rPr>
      <t>​+u</t>
    </r>
    <r>
      <rPr>
        <b/>
        <vertAlign val="subscript"/>
        <sz val="11"/>
        <color rgb="FF000000"/>
        <rFont val="Arial"/>
        <family val="2"/>
      </rPr>
      <t>t</t>
    </r>
    <r>
      <rPr>
        <b/>
        <sz val="11"/>
        <color rgb="FF000000"/>
        <rFont val="Arial"/>
        <family val="2"/>
      </rPr>
      <t>​</t>
    </r>
  </si>
  <si>
    <t>Forecast WALR</t>
  </si>
  <si>
    <t>Forecast date</t>
  </si>
  <si>
    <t>Repo rate(t-1)</t>
  </si>
  <si>
    <r>
      <t>WALR</t>
    </r>
    <r>
      <rPr>
        <b/>
        <vertAlign val="subscript"/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​=α</t>
    </r>
    <r>
      <rPr>
        <b/>
        <vertAlign val="subscript"/>
        <sz val="10"/>
        <color rgb="FF000000"/>
        <rFont val="Arial"/>
        <family val="2"/>
      </rPr>
      <t>0</t>
    </r>
    <r>
      <rPr>
        <b/>
        <sz val="10"/>
        <color rgb="FF000000"/>
        <rFont val="Arial"/>
        <family val="2"/>
      </rPr>
      <t>​+α</t>
    </r>
    <r>
      <rPr>
        <b/>
        <vertAlign val="subscript"/>
        <sz val="10"/>
        <color rgb="FF000000"/>
        <rFont val="Arial"/>
        <family val="2"/>
      </rPr>
      <t>1​</t>
    </r>
    <r>
      <rPr>
        <b/>
        <sz val="10"/>
        <color rgb="FF000000"/>
        <rFont val="Arial"/>
        <family val="2"/>
      </rPr>
      <t>Repo</t>
    </r>
    <r>
      <rPr>
        <b/>
        <vertAlign val="subscript"/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​+u</t>
    </r>
    <r>
      <rPr>
        <b/>
        <vertAlign val="subscript"/>
        <sz val="10"/>
        <color rgb="FF000000"/>
        <rFont val="Arial"/>
        <family val="2"/>
      </rPr>
      <t>t</t>
    </r>
  </si>
  <si>
    <r>
      <t>WALR</t>
    </r>
    <r>
      <rPr>
        <b/>
        <vertAlign val="subscript"/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​=α</t>
    </r>
    <r>
      <rPr>
        <b/>
        <vertAlign val="subscript"/>
        <sz val="10"/>
        <color rgb="FF000000"/>
        <rFont val="Arial"/>
        <family val="2"/>
      </rPr>
      <t>0</t>
    </r>
    <r>
      <rPr>
        <b/>
        <sz val="10"/>
        <color rgb="FF000000"/>
        <rFont val="Arial"/>
        <family val="2"/>
      </rPr>
      <t>​+α</t>
    </r>
    <r>
      <rPr>
        <b/>
        <vertAlign val="subscript"/>
        <sz val="10"/>
        <color rgb="FF000000"/>
        <rFont val="Arial"/>
        <family val="2"/>
      </rPr>
      <t>1</t>
    </r>
    <r>
      <rPr>
        <b/>
        <sz val="10"/>
        <color rgb="FF000000"/>
        <rFont val="Arial"/>
        <family val="2"/>
      </rPr>
      <t>​Repo</t>
    </r>
    <r>
      <rPr>
        <b/>
        <vertAlign val="subscript"/>
        <sz val="10"/>
        <color rgb="FF000000"/>
        <rFont val="Arial"/>
        <family val="2"/>
      </rPr>
      <t>t−1</t>
    </r>
    <r>
      <rPr>
        <b/>
        <sz val="10"/>
        <color rgb="FF000000"/>
        <rFont val="Arial"/>
        <family val="2"/>
      </rPr>
      <t>​+u</t>
    </r>
    <r>
      <rPr>
        <b/>
        <vertAlign val="subscript"/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</si>
</sst>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0.00"/>
    <numFmt numFmtId="168" formatCode="mm\ /\ yyyy"/>
  </numFmts>
  <fonts count="10" x14ac:knownFonts="1">
    <font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b/>
      <sz val="12"/>
      <color rgb="FF000000"/>
      <name val="Cambria"/>
      <family val="1"/>
    </font>
    <font>
      <b/>
      <vertAlign val="subscript"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6" fontId="2" fillId="3" borderId="2" xfId="0" applyNumberFormat="1" applyFont="1" applyFill="1" applyBorder="1" applyAlignment="1">
      <alignment horizontal="right"/>
    </xf>
    <xf numFmtId="166" fontId="2" fillId="2" borderId="2" xfId="0" applyNumberFormat="1" applyFont="1" applyFill="1" applyBorder="1" applyAlignment="1">
      <alignment horizontal="right"/>
    </xf>
    <xf numFmtId="0" fontId="3" fillId="0" borderId="0" xfId="0" applyFont="1"/>
    <xf numFmtId="0" fontId="5" fillId="0" borderId="0" xfId="0" applyFont="1"/>
    <xf numFmtId="168" fontId="1" fillId="3" borderId="1" xfId="0" applyNumberFormat="1" applyFont="1" applyFill="1" applyBorder="1" applyAlignment="1">
      <alignment horizontal="left"/>
    </xf>
    <xf numFmtId="166" fontId="0" fillId="0" borderId="0" xfId="0" applyNumberFormat="1"/>
    <xf numFmtId="0" fontId="0" fillId="4" borderId="0" xfId="0" applyFill="1"/>
    <xf numFmtId="0" fontId="0" fillId="0" borderId="0" xfId="0" applyFill="1" applyBorder="1" applyAlignment="1"/>
    <xf numFmtId="0" fontId="0" fillId="0" borderId="3" xfId="0" applyFill="1" applyBorder="1" applyAlignment="1"/>
    <xf numFmtId="0" fontId="6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Continuous"/>
    </xf>
    <xf numFmtId="0" fontId="3" fillId="0" borderId="0" xfId="0" applyFont="1" applyAlignment="1">
      <alignment horizontal="right"/>
    </xf>
    <xf numFmtId="166" fontId="0" fillId="0" borderId="0" xfId="0" applyNumberFormat="1" applyFill="1"/>
    <xf numFmtId="0" fontId="0" fillId="0" borderId="0" xfId="0" applyFill="1"/>
    <xf numFmtId="166" fontId="2" fillId="0" borderId="2" xfId="0" applyNumberFormat="1" applyFont="1" applyFill="1" applyBorder="1" applyAlignment="1">
      <alignment horizontal="right"/>
    </xf>
    <xf numFmtId="0" fontId="8" fillId="5" borderId="0" xfId="0" applyFont="1" applyFill="1"/>
    <xf numFmtId="0" fontId="8" fillId="4" borderId="5" xfId="0" applyFont="1" applyFill="1" applyBorder="1"/>
    <xf numFmtId="0" fontId="8" fillId="4" borderId="0" xfId="0" applyFont="1" applyFill="1"/>
    <xf numFmtId="0" fontId="4" fillId="0" borderId="0" xfId="0" applyFont="1"/>
    <xf numFmtId="14" fontId="0" fillId="0" borderId="0" xfId="0" applyNumberFormat="1" applyFill="1"/>
    <xf numFmtId="14" fontId="2" fillId="0" borderId="2" xfId="0" applyNumberFormat="1" applyFont="1" applyFill="1" applyBorder="1" applyAlignment="1">
      <alignment horizontal="righ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539071"/>
        <c:axId val="790542815"/>
      </c:barChart>
      <c:catAx>
        <c:axId val="790539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542815"/>
        <c:crosses val="autoZero"/>
        <c:auto val="1"/>
        <c:lblAlgn val="ctr"/>
        <c:lblOffset val="100"/>
        <c:noMultiLvlLbl val="0"/>
      </c:catAx>
      <c:valAx>
        <c:axId val="7905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53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Repo Rate vs WALR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Sheet'!$B$1</c:f>
              <c:strCache>
                <c:ptCount val="1"/>
                <c:pt idx="0">
                  <c:v>Policy Repo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Sheet'!$A$2:$A$131</c:f>
              <c:numCache>
                <c:formatCode>mm\ /\ yyyy</c:formatCode>
                <c:ptCount val="130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45900</c:v>
                </c:pt>
                <c:pt idx="128">
                  <c:v>45930</c:v>
                </c:pt>
                <c:pt idx="129">
                  <c:v>45961</c:v>
                </c:pt>
              </c:numCache>
            </c:numRef>
          </c:cat>
          <c:val>
            <c:numRef>
              <c:f>'Data Sheet'!$B$2:$B$131</c:f>
              <c:numCache>
                <c:formatCode>#,##0.00;\-#,##0.00;0.00</c:formatCode>
                <c:ptCount val="130"/>
                <c:pt idx="0">
                  <c:v>7.75</c:v>
                </c:pt>
                <c:pt idx="1">
                  <c:v>7.75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7.25</c:v>
                </c:pt>
                <c:pt idx="6">
                  <c:v>7.25</c:v>
                </c:pt>
                <c:pt idx="7">
                  <c:v>7.25</c:v>
                </c:pt>
                <c:pt idx="8">
                  <c:v>7.25</c:v>
                </c:pt>
                <c:pt idx="9">
                  <c:v>6.75</c:v>
                </c:pt>
                <c:pt idx="10">
                  <c:v>6.75</c:v>
                </c:pt>
                <c:pt idx="11">
                  <c:v>6.75</c:v>
                </c:pt>
                <c:pt idx="12">
                  <c:v>6.75</c:v>
                </c:pt>
                <c:pt idx="13">
                  <c:v>6.75</c:v>
                </c:pt>
                <c:pt idx="14">
                  <c:v>6.75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6.25</c:v>
                </c:pt>
                <c:pt idx="22">
                  <c:v>6.25</c:v>
                </c:pt>
                <c:pt idx="23">
                  <c:v>6.25</c:v>
                </c:pt>
                <c:pt idx="24">
                  <c:v>6.25</c:v>
                </c:pt>
                <c:pt idx="25">
                  <c:v>6.25</c:v>
                </c:pt>
                <c:pt idx="26">
                  <c:v>6.25</c:v>
                </c:pt>
                <c:pt idx="27">
                  <c:v>6.25</c:v>
                </c:pt>
                <c:pt idx="28">
                  <c:v>6.25</c:v>
                </c:pt>
                <c:pt idx="29">
                  <c:v>6.25</c:v>
                </c:pt>
                <c:pt idx="30">
                  <c:v>6.25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6.25</c:v>
                </c:pt>
                <c:pt idx="42">
                  <c:v>6.25</c:v>
                </c:pt>
                <c:pt idx="43">
                  <c:v>6.5</c:v>
                </c:pt>
                <c:pt idx="44">
                  <c:v>6.5</c:v>
                </c:pt>
                <c:pt idx="45">
                  <c:v>6.5</c:v>
                </c:pt>
                <c:pt idx="46">
                  <c:v>6.5</c:v>
                </c:pt>
                <c:pt idx="47">
                  <c:v>6.5</c:v>
                </c:pt>
                <c:pt idx="48">
                  <c:v>6.5</c:v>
                </c:pt>
                <c:pt idx="49">
                  <c:v>6.25</c:v>
                </c:pt>
                <c:pt idx="50">
                  <c:v>6.25</c:v>
                </c:pt>
                <c:pt idx="51">
                  <c:v>6</c:v>
                </c:pt>
                <c:pt idx="52">
                  <c:v>6</c:v>
                </c:pt>
                <c:pt idx="53">
                  <c:v>5.75</c:v>
                </c:pt>
                <c:pt idx="54">
                  <c:v>5.75</c:v>
                </c:pt>
                <c:pt idx="55">
                  <c:v>5.4</c:v>
                </c:pt>
                <c:pt idx="56">
                  <c:v>5.4</c:v>
                </c:pt>
                <c:pt idx="57">
                  <c:v>5.15</c:v>
                </c:pt>
                <c:pt idx="58">
                  <c:v>5.15</c:v>
                </c:pt>
                <c:pt idx="59">
                  <c:v>5.15</c:v>
                </c:pt>
                <c:pt idx="60">
                  <c:v>5.15</c:v>
                </c:pt>
                <c:pt idx="61">
                  <c:v>5.15</c:v>
                </c:pt>
                <c:pt idx="62">
                  <c:v>4.4000000000000004</c:v>
                </c:pt>
                <c:pt idx="63">
                  <c:v>4.4000000000000004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4.4000000000000004</c:v>
                </c:pt>
                <c:pt idx="89">
                  <c:v>4.9000000000000004</c:v>
                </c:pt>
                <c:pt idx="90">
                  <c:v>4.9000000000000004</c:v>
                </c:pt>
                <c:pt idx="91">
                  <c:v>5.4</c:v>
                </c:pt>
                <c:pt idx="92">
                  <c:v>5.9</c:v>
                </c:pt>
                <c:pt idx="93">
                  <c:v>5.9</c:v>
                </c:pt>
                <c:pt idx="94">
                  <c:v>5.9</c:v>
                </c:pt>
                <c:pt idx="95">
                  <c:v>6.25</c:v>
                </c:pt>
                <c:pt idx="96">
                  <c:v>6.25</c:v>
                </c:pt>
                <c:pt idx="97">
                  <c:v>6.5</c:v>
                </c:pt>
                <c:pt idx="98">
                  <c:v>6.5</c:v>
                </c:pt>
                <c:pt idx="99">
                  <c:v>6.5</c:v>
                </c:pt>
                <c:pt idx="100">
                  <c:v>6.5</c:v>
                </c:pt>
                <c:pt idx="101">
                  <c:v>6.5</c:v>
                </c:pt>
                <c:pt idx="102">
                  <c:v>6.5</c:v>
                </c:pt>
                <c:pt idx="103">
                  <c:v>6.5</c:v>
                </c:pt>
                <c:pt idx="104">
                  <c:v>6.5</c:v>
                </c:pt>
                <c:pt idx="105">
                  <c:v>6.5</c:v>
                </c:pt>
                <c:pt idx="106">
                  <c:v>6.5</c:v>
                </c:pt>
                <c:pt idx="107">
                  <c:v>6.5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  <c:pt idx="116">
                  <c:v>6.5</c:v>
                </c:pt>
                <c:pt idx="117">
                  <c:v>6.5</c:v>
                </c:pt>
                <c:pt idx="118">
                  <c:v>6.5</c:v>
                </c:pt>
                <c:pt idx="119">
                  <c:v>6.5</c:v>
                </c:pt>
                <c:pt idx="120">
                  <c:v>6.5</c:v>
                </c:pt>
                <c:pt idx="121">
                  <c:v>6.25</c:v>
                </c:pt>
                <c:pt idx="122">
                  <c:v>6.25</c:v>
                </c:pt>
                <c:pt idx="123">
                  <c:v>6</c:v>
                </c:pt>
                <c:pt idx="124">
                  <c:v>6</c:v>
                </c:pt>
                <c:pt idx="125">
                  <c:v>5.5</c:v>
                </c:pt>
                <c:pt idx="126">
                  <c:v>5.5</c:v>
                </c:pt>
                <c:pt idx="127">
                  <c:v>5.5</c:v>
                </c:pt>
                <c:pt idx="128">
                  <c:v>5.5</c:v>
                </c:pt>
                <c:pt idx="129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2-40AB-8CF6-C42AA050F450}"/>
            </c:ext>
          </c:extLst>
        </c:ser>
        <c:ser>
          <c:idx val="1"/>
          <c:order val="1"/>
          <c:tx>
            <c:strRef>
              <c:f>'Data Sheet'!$C$1</c:f>
              <c:strCache>
                <c:ptCount val="1"/>
                <c:pt idx="0">
                  <c:v>Weighted Average Lending Rate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Sheet'!$A$2:$A$131</c:f>
              <c:numCache>
                <c:formatCode>mm\ /\ yyyy</c:formatCode>
                <c:ptCount val="130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45900</c:v>
                </c:pt>
                <c:pt idx="128">
                  <c:v>45930</c:v>
                </c:pt>
                <c:pt idx="129">
                  <c:v>45961</c:v>
                </c:pt>
              </c:numCache>
            </c:numRef>
          </c:cat>
          <c:val>
            <c:numRef>
              <c:f>'Data Sheet'!$C$2:$C$131</c:f>
              <c:numCache>
                <c:formatCode>#,##0.00;\-#,##0.00;0.00</c:formatCode>
                <c:ptCount val="130"/>
                <c:pt idx="0">
                  <c:v>7.49</c:v>
                </c:pt>
                <c:pt idx="1">
                  <c:v>7.64</c:v>
                </c:pt>
                <c:pt idx="2">
                  <c:v>7.55</c:v>
                </c:pt>
                <c:pt idx="3">
                  <c:v>7.35</c:v>
                </c:pt>
                <c:pt idx="4">
                  <c:v>7.21</c:v>
                </c:pt>
                <c:pt idx="5">
                  <c:v>6.95</c:v>
                </c:pt>
                <c:pt idx="6">
                  <c:v>6.89</c:v>
                </c:pt>
                <c:pt idx="7">
                  <c:v>6.9</c:v>
                </c:pt>
                <c:pt idx="8">
                  <c:v>7.1</c:v>
                </c:pt>
                <c:pt idx="9">
                  <c:v>6.61</c:v>
                </c:pt>
                <c:pt idx="10">
                  <c:v>6.73</c:v>
                </c:pt>
                <c:pt idx="11">
                  <c:v>6.65</c:v>
                </c:pt>
                <c:pt idx="12">
                  <c:v>6.7</c:v>
                </c:pt>
                <c:pt idx="13">
                  <c:v>6.77</c:v>
                </c:pt>
                <c:pt idx="14">
                  <c:v>6.94</c:v>
                </c:pt>
                <c:pt idx="15">
                  <c:v>6.42</c:v>
                </c:pt>
                <c:pt idx="16">
                  <c:v>6.44</c:v>
                </c:pt>
                <c:pt idx="17">
                  <c:v>6.29</c:v>
                </c:pt>
                <c:pt idx="18">
                  <c:v>6.29</c:v>
                </c:pt>
                <c:pt idx="19">
                  <c:v>6.39</c:v>
                </c:pt>
                <c:pt idx="20">
                  <c:v>6.4</c:v>
                </c:pt>
                <c:pt idx="21">
                  <c:v>6.22</c:v>
                </c:pt>
                <c:pt idx="22">
                  <c:v>6.03</c:v>
                </c:pt>
                <c:pt idx="23">
                  <c:v>6.06</c:v>
                </c:pt>
                <c:pt idx="24">
                  <c:v>6</c:v>
                </c:pt>
                <c:pt idx="25">
                  <c:v>6</c:v>
                </c:pt>
                <c:pt idx="26">
                  <c:v>5.97</c:v>
                </c:pt>
                <c:pt idx="27">
                  <c:v>5.93</c:v>
                </c:pt>
                <c:pt idx="28">
                  <c:v>6.03</c:v>
                </c:pt>
                <c:pt idx="29">
                  <c:v>6.05</c:v>
                </c:pt>
                <c:pt idx="30">
                  <c:v>6.04</c:v>
                </c:pt>
                <c:pt idx="31">
                  <c:v>5.87</c:v>
                </c:pt>
                <c:pt idx="32">
                  <c:v>5.88</c:v>
                </c:pt>
                <c:pt idx="33">
                  <c:v>5.86</c:v>
                </c:pt>
                <c:pt idx="34">
                  <c:v>5.85</c:v>
                </c:pt>
                <c:pt idx="35">
                  <c:v>5.88</c:v>
                </c:pt>
                <c:pt idx="36">
                  <c:v>5.88</c:v>
                </c:pt>
                <c:pt idx="37">
                  <c:v>5.91</c:v>
                </c:pt>
                <c:pt idx="38">
                  <c:v>5.93</c:v>
                </c:pt>
                <c:pt idx="39">
                  <c:v>5.88</c:v>
                </c:pt>
                <c:pt idx="40">
                  <c:v>5.88</c:v>
                </c:pt>
                <c:pt idx="41">
                  <c:v>6.07</c:v>
                </c:pt>
                <c:pt idx="42">
                  <c:v>6.15</c:v>
                </c:pt>
                <c:pt idx="43">
                  <c:v>6.32</c:v>
                </c:pt>
                <c:pt idx="44">
                  <c:v>6.44</c:v>
                </c:pt>
                <c:pt idx="45">
                  <c:v>6.42</c:v>
                </c:pt>
                <c:pt idx="46">
                  <c:v>6.37</c:v>
                </c:pt>
                <c:pt idx="47">
                  <c:v>6.43</c:v>
                </c:pt>
                <c:pt idx="48">
                  <c:v>6.36</c:v>
                </c:pt>
                <c:pt idx="49">
                  <c:v>6.27</c:v>
                </c:pt>
                <c:pt idx="50">
                  <c:v>6.31</c:v>
                </c:pt>
                <c:pt idx="51">
                  <c:v>6.08</c:v>
                </c:pt>
                <c:pt idx="52">
                  <c:v>5.92</c:v>
                </c:pt>
                <c:pt idx="53">
                  <c:v>5.76</c:v>
                </c:pt>
                <c:pt idx="54">
                  <c:v>5.61</c:v>
                </c:pt>
                <c:pt idx="55">
                  <c:v>5.38</c:v>
                </c:pt>
                <c:pt idx="56">
                  <c:v>5.32</c:v>
                </c:pt>
                <c:pt idx="57">
                  <c:v>5.07</c:v>
                </c:pt>
                <c:pt idx="58">
                  <c:v>5</c:v>
                </c:pt>
                <c:pt idx="59">
                  <c:v>5.0199999999999996</c:v>
                </c:pt>
                <c:pt idx="60">
                  <c:v>4.9400000000000004</c:v>
                </c:pt>
                <c:pt idx="61">
                  <c:v>4.96</c:v>
                </c:pt>
                <c:pt idx="62">
                  <c:v>4.92</c:v>
                </c:pt>
                <c:pt idx="63">
                  <c:v>4.08</c:v>
                </c:pt>
                <c:pt idx="64">
                  <c:v>3.7</c:v>
                </c:pt>
                <c:pt idx="65">
                  <c:v>3.51</c:v>
                </c:pt>
                <c:pt idx="66">
                  <c:v>3.42</c:v>
                </c:pt>
                <c:pt idx="67">
                  <c:v>3.42</c:v>
                </c:pt>
                <c:pt idx="68">
                  <c:v>3.38</c:v>
                </c:pt>
                <c:pt idx="69">
                  <c:v>3.28</c:v>
                </c:pt>
                <c:pt idx="70">
                  <c:v>3.15</c:v>
                </c:pt>
                <c:pt idx="71">
                  <c:v>3.15</c:v>
                </c:pt>
                <c:pt idx="72">
                  <c:v>3.14</c:v>
                </c:pt>
                <c:pt idx="73">
                  <c:v>3.24</c:v>
                </c:pt>
                <c:pt idx="74">
                  <c:v>3.2</c:v>
                </c:pt>
                <c:pt idx="75">
                  <c:v>3.17</c:v>
                </c:pt>
                <c:pt idx="76">
                  <c:v>3.17</c:v>
                </c:pt>
                <c:pt idx="77">
                  <c:v>3.12</c:v>
                </c:pt>
                <c:pt idx="78">
                  <c:v>3.15</c:v>
                </c:pt>
                <c:pt idx="79">
                  <c:v>3.17</c:v>
                </c:pt>
                <c:pt idx="80">
                  <c:v>3.16</c:v>
                </c:pt>
                <c:pt idx="81">
                  <c:v>3.24</c:v>
                </c:pt>
                <c:pt idx="82">
                  <c:v>3.29</c:v>
                </c:pt>
                <c:pt idx="83">
                  <c:v>3.33</c:v>
                </c:pt>
                <c:pt idx="84">
                  <c:v>3.43</c:v>
                </c:pt>
                <c:pt idx="85">
                  <c:v>3.25</c:v>
                </c:pt>
                <c:pt idx="86">
                  <c:v>3.3</c:v>
                </c:pt>
                <c:pt idx="87">
                  <c:v>3.47</c:v>
                </c:pt>
                <c:pt idx="88">
                  <c:v>4</c:v>
                </c:pt>
                <c:pt idx="89">
                  <c:v>4.45</c:v>
                </c:pt>
                <c:pt idx="90">
                  <c:v>4.7300000000000004</c:v>
                </c:pt>
                <c:pt idx="91">
                  <c:v>4.96</c:v>
                </c:pt>
                <c:pt idx="92">
                  <c:v>5.24</c:v>
                </c:pt>
                <c:pt idx="93">
                  <c:v>5.98</c:v>
                </c:pt>
                <c:pt idx="94">
                  <c:v>5.93</c:v>
                </c:pt>
                <c:pt idx="95">
                  <c:v>6.15</c:v>
                </c:pt>
                <c:pt idx="96">
                  <c:v>6.18</c:v>
                </c:pt>
                <c:pt idx="97">
                  <c:v>6.39</c:v>
                </c:pt>
                <c:pt idx="98">
                  <c:v>6.45</c:v>
                </c:pt>
                <c:pt idx="99">
                  <c:v>6.46</c:v>
                </c:pt>
                <c:pt idx="100">
                  <c:v>6.54</c:v>
                </c:pt>
                <c:pt idx="101">
                  <c:v>6.51</c:v>
                </c:pt>
                <c:pt idx="102">
                  <c:v>6.44</c:v>
                </c:pt>
                <c:pt idx="103">
                  <c:v>6.55</c:v>
                </c:pt>
                <c:pt idx="104">
                  <c:v>6.59</c:v>
                </c:pt>
                <c:pt idx="105">
                  <c:v>6.68</c:v>
                </c:pt>
                <c:pt idx="106">
                  <c:v>6.75</c:v>
                </c:pt>
                <c:pt idx="107">
                  <c:v>6.7</c:v>
                </c:pt>
                <c:pt idx="108">
                  <c:v>6.68</c:v>
                </c:pt>
                <c:pt idx="109">
                  <c:v>6.59</c:v>
                </c:pt>
                <c:pt idx="110">
                  <c:v>6.55</c:v>
                </c:pt>
                <c:pt idx="111">
                  <c:v>6.51</c:v>
                </c:pt>
                <c:pt idx="112">
                  <c:v>6.56</c:v>
                </c:pt>
                <c:pt idx="113">
                  <c:v>6.53</c:v>
                </c:pt>
                <c:pt idx="114">
                  <c:v>6.48</c:v>
                </c:pt>
                <c:pt idx="115">
                  <c:v>6.47</c:v>
                </c:pt>
                <c:pt idx="116">
                  <c:v>6.53</c:v>
                </c:pt>
                <c:pt idx="117">
                  <c:v>6.46</c:v>
                </c:pt>
                <c:pt idx="118">
                  <c:v>6.49</c:v>
                </c:pt>
                <c:pt idx="119">
                  <c:v>6.61</c:v>
                </c:pt>
                <c:pt idx="120">
                  <c:v>6.57</c:v>
                </c:pt>
                <c:pt idx="121">
                  <c:v>6.33</c:v>
                </c:pt>
                <c:pt idx="122">
                  <c:v>6.27</c:v>
                </c:pt>
                <c:pt idx="123">
                  <c:v>5.91</c:v>
                </c:pt>
                <c:pt idx="124">
                  <c:v>5.78</c:v>
                </c:pt>
                <c:pt idx="125">
                  <c:v>5.38</c:v>
                </c:pt>
                <c:pt idx="126">
                  <c:v>5.35</c:v>
                </c:pt>
                <c:pt idx="127">
                  <c:v>5.38</c:v>
                </c:pt>
                <c:pt idx="128">
                  <c:v>5.43</c:v>
                </c:pt>
                <c:pt idx="129">
                  <c:v>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2-40AB-8CF6-C42AA050F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006655"/>
        <c:axId val="1890002911"/>
      </c:lineChart>
      <c:dateAx>
        <c:axId val="1890006655"/>
        <c:scaling>
          <c:orientation val="minMax"/>
        </c:scaling>
        <c:delete val="0"/>
        <c:axPos val="b"/>
        <c:numFmt formatCode="mm\ /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02911"/>
        <c:crosses val="autoZero"/>
        <c:auto val="1"/>
        <c:lblOffset val="100"/>
        <c:baseTimeUnit val="months"/>
      </c:dateAx>
      <c:valAx>
        <c:axId val="189000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;\-#,##0.00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0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Visualization!$Y$2</c:f>
              <c:strCache>
                <c:ptCount val="1"/>
                <c:pt idx="0">
                  <c:v>Weighted Average Lending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Visualization!$X$3:$X$139</c:f>
              <c:numCache>
                <c:formatCode>mm\ /\ yyyy</c:formatCode>
                <c:ptCount val="137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45900</c:v>
                </c:pt>
                <c:pt idx="128">
                  <c:v>45930</c:v>
                </c:pt>
                <c:pt idx="129">
                  <c:v>45961</c:v>
                </c:pt>
                <c:pt idx="130">
                  <c:v>45991</c:v>
                </c:pt>
                <c:pt idx="131">
                  <c:v>46021</c:v>
                </c:pt>
                <c:pt idx="132">
                  <c:v>46052</c:v>
                </c:pt>
                <c:pt idx="133">
                  <c:v>46081</c:v>
                </c:pt>
                <c:pt idx="134">
                  <c:v>46109</c:v>
                </c:pt>
                <c:pt idx="135">
                  <c:v>46140</c:v>
                </c:pt>
                <c:pt idx="136">
                  <c:v>46170</c:v>
                </c:pt>
              </c:numCache>
            </c:numRef>
          </c:cat>
          <c:val>
            <c:numRef>
              <c:f>Visualization!$Y$3:$Y$139</c:f>
              <c:numCache>
                <c:formatCode>General</c:formatCode>
                <c:ptCount val="137"/>
                <c:pt idx="0">
                  <c:v>7.49</c:v>
                </c:pt>
                <c:pt idx="1">
                  <c:v>7.64</c:v>
                </c:pt>
                <c:pt idx="2">
                  <c:v>7.55</c:v>
                </c:pt>
                <c:pt idx="3">
                  <c:v>7.35</c:v>
                </c:pt>
                <c:pt idx="4">
                  <c:v>7.21</c:v>
                </c:pt>
                <c:pt idx="5">
                  <c:v>6.95</c:v>
                </c:pt>
                <c:pt idx="6">
                  <c:v>6.89</c:v>
                </c:pt>
                <c:pt idx="7">
                  <c:v>6.9</c:v>
                </c:pt>
                <c:pt idx="8">
                  <c:v>7.1</c:v>
                </c:pt>
                <c:pt idx="9">
                  <c:v>6.61</c:v>
                </c:pt>
                <c:pt idx="10">
                  <c:v>6.73</c:v>
                </c:pt>
                <c:pt idx="11">
                  <c:v>6.65</c:v>
                </c:pt>
                <c:pt idx="12">
                  <c:v>6.7</c:v>
                </c:pt>
                <c:pt idx="13">
                  <c:v>6.77</c:v>
                </c:pt>
                <c:pt idx="14">
                  <c:v>6.94</c:v>
                </c:pt>
                <c:pt idx="15">
                  <c:v>6.42</c:v>
                </c:pt>
                <c:pt idx="16">
                  <c:v>6.44</c:v>
                </c:pt>
                <c:pt idx="17">
                  <c:v>6.29</c:v>
                </c:pt>
                <c:pt idx="18">
                  <c:v>6.29</c:v>
                </c:pt>
                <c:pt idx="19">
                  <c:v>6.39</c:v>
                </c:pt>
                <c:pt idx="20">
                  <c:v>6.4</c:v>
                </c:pt>
                <c:pt idx="21">
                  <c:v>6.22</c:v>
                </c:pt>
                <c:pt idx="22">
                  <c:v>6.03</c:v>
                </c:pt>
                <c:pt idx="23">
                  <c:v>6.06</c:v>
                </c:pt>
                <c:pt idx="24">
                  <c:v>6</c:v>
                </c:pt>
                <c:pt idx="25">
                  <c:v>6</c:v>
                </c:pt>
                <c:pt idx="26">
                  <c:v>5.97</c:v>
                </c:pt>
                <c:pt idx="27">
                  <c:v>5.93</c:v>
                </c:pt>
                <c:pt idx="28">
                  <c:v>6.03</c:v>
                </c:pt>
                <c:pt idx="29">
                  <c:v>6.05</c:v>
                </c:pt>
                <c:pt idx="30">
                  <c:v>6.04</c:v>
                </c:pt>
                <c:pt idx="31">
                  <c:v>5.87</c:v>
                </c:pt>
                <c:pt idx="32">
                  <c:v>5.88</c:v>
                </c:pt>
                <c:pt idx="33">
                  <c:v>5.86</c:v>
                </c:pt>
                <c:pt idx="34">
                  <c:v>5.85</c:v>
                </c:pt>
                <c:pt idx="35">
                  <c:v>5.88</c:v>
                </c:pt>
                <c:pt idx="36">
                  <c:v>5.88</c:v>
                </c:pt>
                <c:pt idx="37">
                  <c:v>5.91</c:v>
                </c:pt>
                <c:pt idx="38">
                  <c:v>5.93</c:v>
                </c:pt>
                <c:pt idx="39">
                  <c:v>5.88</c:v>
                </c:pt>
                <c:pt idx="40">
                  <c:v>5.88</c:v>
                </c:pt>
                <c:pt idx="41">
                  <c:v>6.07</c:v>
                </c:pt>
                <c:pt idx="42">
                  <c:v>6.15</c:v>
                </c:pt>
                <c:pt idx="43">
                  <c:v>6.32</c:v>
                </c:pt>
                <c:pt idx="44">
                  <c:v>6.44</c:v>
                </c:pt>
                <c:pt idx="45">
                  <c:v>6.42</c:v>
                </c:pt>
                <c:pt idx="46">
                  <c:v>6.37</c:v>
                </c:pt>
                <c:pt idx="47">
                  <c:v>6.43</c:v>
                </c:pt>
                <c:pt idx="48">
                  <c:v>6.36</c:v>
                </c:pt>
                <c:pt idx="49">
                  <c:v>6.27</c:v>
                </c:pt>
                <c:pt idx="50">
                  <c:v>6.31</c:v>
                </c:pt>
                <c:pt idx="51">
                  <c:v>6.08</c:v>
                </c:pt>
                <c:pt idx="52">
                  <c:v>5.92</c:v>
                </c:pt>
                <c:pt idx="53">
                  <c:v>5.76</c:v>
                </c:pt>
                <c:pt idx="54">
                  <c:v>5.61</c:v>
                </c:pt>
                <c:pt idx="55">
                  <c:v>5.38</c:v>
                </c:pt>
                <c:pt idx="56">
                  <c:v>5.32</c:v>
                </c:pt>
                <c:pt idx="57">
                  <c:v>5.07</c:v>
                </c:pt>
                <c:pt idx="58">
                  <c:v>5</c:v>
                </c:pt>
                <c:pt idx="59">
                  <c:v>5.0199999999999996</c:v>
                </c:pt>
                <c:pt idx="60">
                  <c:v>4.9400000000000004</c:v>
                </c:pt>
                <c:pt idx="61">
                  <c:v>4.96</c:v>
                </c:pt>
                <c:pt idx="62">
                  <c:v>4.92</c:v>
                </c:pt>
                <c:pt idx="63">
                  <c:v>4.08</c:v>
                </c:pt>
                <c:pt idx="64">
                  <c:v>3.7</c:v>
                </c:pt>
                <c:pt idx="65">
                  <c:v>3.51</c:v>
                </c:pt>
                <c:pt idx="66">
                  <c:v>3.42</c:v>
                </c:pt>
                <c:pt idx="67">
                  <c:v>3.42</c:v>
                </c:pt>
                <c:pt idx="68">
                  <c:v>3.38</c:v>
                </c:pt>
                <c:pt idx="69">
                  <c:v>3.28</c:v>
                </c:pt>
                <c:pt idx="70">
                  <c:v>3.15</c:v>
                </c:pt>
                <c:pt idx="71">
                  <c:v>3.15</c:v>
                </c:pt>
                <c:pt idx="72">
                  <c:v>3.14</c:v>
                </c:pt>
                <c:pt idx="73">
                  <c:v>3.24</c:v>
                </c:pt>
                <c:pt idx="74">
                  <c:v>3.2</c:v>
                </c:pt>
                <c:pt idx="75">
                  <c:v>3.17</c:v>
                </c:pt>
                <c:pt idx="76">
                  <c:v>3.17</c:v>
                </c:pt>
                <c:pt idx="77">
                  <c:v>3.12</c:v>
                </c:pt>
                <c:pt idx="78">
                  <c:v>3.15</c:v>
                </c:pt>
                <c:pt idx="79">
                  <c:v>3.17</c:v>
                </c:pt>
                <c:pt idx="80">
                  <c:v>3.16</c:v>
                </c:pt>
                <c:pt idx="81">
                  <c:v>3.24</c:v>
                </c:pt>
                <c:pt idx="82">
                  <c:v>3.29</c:v>
                </c:pt>
                <c:pt idx="83">
                  <c:v>3.33</c:v>
                </c:pt>
                <c:pt idx="84">
                  <c:v>3.43</c:v>
                </c:pt>
                <c:pt idx="85">
                  <c:v>3.25</c:v>
                </c:pt>
                <c:pt idx="86">
                  <c:v>3.3</c:v>
                </c:pt>
                <c:pt idx="87">
                  <c:v>3.47</c:v>
                </c:pt>
                <c:pt idx="88">
                  <c:v>4</c:v>
                </c:pt>
                <c:pt idx="89">
                  <c:v>4.45</c:v>
                </c:pt>
                <c:pt idx="90">
                  <c:v>4.7300000000000004</c:v>
                </c:pt>
                <c:pt idx="91">
                  <c:v>4.96</c:v>
                </c:pt>
                <c:pt idx="92">
                  <c:v>5.24</c:v>
                </c:pt>
                <c:pt idx="93">
                  <c:v>5.98</c:v>
                </c:pt>
                <c:pt idx="94">
                  <c:v>5.93</c:v>
                </c:pt>
                <c:pt idx="95">
                  <c:v>6.15</c:v>
                </c:pt>
                <c:pt idx="96">
                  <c:v>6.18</c:v>
                </c:pt>
                <c:pt idx="97">
                  <c:v>6.39</c:v>
                </c:pt>
                <c:pt idx="98">
                  <c:v>6.45</c:v>
                </c:pt>
                <c:pt idx="99">
                  <c:v>6.46</c:v>
                </c:pt>
                <c:pt idx="100">
                  <c:v>6.54</c:v>
                </c:pt>
                <c:pt idx="101">
                  <c:v>6.51</c:v>
                </c:pt>
                <c:pt idx="102">
                  <c:v>6.44</c:v>
                </c:pt>
                <c:pt idx="103">
                  <c:v>6.55</c:v>
                </c:pt>
                <c:pt idx="104">
                  <c:v>6.59</c:v>
                </c:pt>
                <c:pt idx="105">
                  <c:v>6.68</c:v>
                </c:pt>
                <c:pt idx="106">
                  <c:v>6.75</c:v>
                </c:pt>
                <c:pt idx="107">
                  <c:v>6.7</c:v>
                </c:pt>
                <c:pt idx="108">
                  <c:v>6.68</c:v>
                </c:pt>
                <c:pt idx="109">
                  <c:v>6.59</c:v>
                </c:pt>
                <c:pt idx="110">
                  <c:v>6.55</c:v>
                </c:pt>
                <c:pt idx="111">
                  <c:v>6.51</c:v>
                </c:pt>
                <c:pt idx="112">
                  <c:v>6.56</c:v>
                </c:pt>
                <c:pt idx="113">
                  <c:v>6.53</c:v>
                </c:pt>
                <c:pt idx="114">
                  <c:v>6.48</c:v>
                </c:pt>
                <c:pt idx="115">
                  <c:v>6.47</c:v>
                </c:pt>
                <c:pt idx="116">
                  <c:v>6.53</c:v>
                </c:pt>
                <c:pt idx="117">
                  <c:v>6.46</c:v>
                </c:pt>
                <c:pt idx="118">
                  <c:v>6.49</c:v>
                </c:pt>
                <c:pt idx="119">
                  <c:v>6.61</c:v>
                </c:pt>
                <c:pt idx="120">
                  <c:v>6.57</c:v>
                </c:pt>
                <c:pt idx="121">
                  <c:v>6.33</c:v>
                </c:pt>
                <c:pt idx="122">
                  <c:v>6.27</c:v>
                </c:pt>
                <c:pt idx="123">
                  <c:v>5.91</c:v>
                </c:pt>
                <c:pt idx="124">
                  <c:v>5.78</c:v>
                </c:pt>
                <c:pt idx="125">
                  <c:v>5.38</c:v>
                </c:pt>
                <c:pt idx="126">
                  <c:v>5.35</c:v>
                </c:pt>
                <c:pt idx="127">
                  <c:v>5.38</c:v>
                </c:pt>
                <c:pt idx="128">
                  <c:v>5.43</c:v>
                </c:pt>
                <c:pt idx="129">
                  <c:v>5.44</c:v>
                </c:pt>
                <c:pt idx="130">
                  <c:v>5.31</c:v>
                </c:pt>
                <c:pt idx="131">
                  <c:v>5.31</c:v>
                </c:pt>
                <c:pt idx="132">
                  <c:v>5.31</c:v>
                </c:pt>
                <c:pt idx="133">
                  <c:v>5.31</c:v>
                </c:pt>
                <c:pt idx="134">
                  <c:v>5.31</c:v>
                </c:pt>
                <c:pt idx="135">
                  <c:v>5.31</c:v>
                </c:pt>
                <c:pt idx="136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E-4C31-B434-7A400D5D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679311"/>
        <c:axId val="342668911"/>
      </c:lineChart>
      <c:dateAx>
        <c:axId val="342679311"/>
        <c:scaling>
          <c:orientation val="minMax"/>
        </c:scaling>
        <c:delete val="0"/>
        <c:axPos val="b"/>
        <c:numFmt formatCode="mm\ /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668911"/>
        <c:crosses val="autoZero"/>
        <c:auto val="1"/>
        <c:lblOffset val="100"/>
        <c:baseTimeUnit val="months"/>
      </c:dateAx>
      <c:valAx>
        <c:axId val="3426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67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Sheet'!$F$1</c:f>
              <c:strCache>
                <c:ptCount val="1"/>
                <c:pt idx="0">
                  <c:v>WALR(t-1)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6806342789272406"/>
                  <c:y val="-0.2467178476476968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/>
                      <a:t>R² = 0.1119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Sheet'!$D$2:$D$131</c:f>
              <c:numCache>
                <c:formatCode>#,##0.00;\-#,##0.00;0.00</c:formatCode>
                <c:ptCount val="130"/>
                <c:pt idx="0">
                  <c:v>5.19</c:v>
                </c:pt>
                <c:pt idx="1">
                  <c:v>5.37</c:v>
                </c:pt>
                <c:pt idx="2">
                  <c:v>5.25</c:v>
                </c:pt>
                <c:pt idx="3">
                  <c:v>4.87</c:v>
                </c:pt>
                <c:pt idx="4">
                  <c:v>5.01</c:v>
                </c:pt>
                <c:pt idx="5">
                  <c:v>5.4</c:v>
                </c:pt>
                <c:pt idx="6">
                  <c:v>3.69</c:v>
                </c:pt>
                <c:pt idx="7">
                  <c:v>3.74</c:v>
                </c:pt>
                <c:pt idx="8">
                  <c:v>4.41</c:v>
                </c:pt>
                <c:pt idx="9">
                  <c:v>5</c:v>
                </c:pt>
                <c:pt idx="10">
                  <c:v>5.41</c:v>
                </c:pt>
                <c:pt idx="11">
                  <c:v>5.61</c:v>
                </c:pt>
                <c:pt idx="12">
                  <c:v>5.69</c:v>
                </c:pt>
                <c:pt idx="13">
                  <c:v>5.26</c:v>
                </c:pt>
                <c:pt idx="14">
                  <c:v>4.83</c:v>
                </c:pt>
                <c:pt idx="15">
                  <c:v>5.47</c:v>
                </c:pt>
                <c:pt idx="16">
                  <c:v>5.76</c:v>
                </c:pt>
                <c:pt idx="17">
                  <c:v>5.77</c:v>
                </c:pt>
                <c:pt idx="18">
                  <c:v>6.07</c:v>
                </c:pt>
                <c:pt idx="19">
                  <c:v>5.05</c:v>
                </c:pt>
                <c:pt idx="20">
                  <c:v>4.3899999999999997</c:v>
                </c:pt>
                <c:pt idx="21">
                  <c:v>4.2</c:v>
                </c:pt>
                <c:pt idx="22">
                  <c:v>3.63</c:v>
                </c:pt>
                <c:pt idx="23">
                  <c:v>3.41</c:v>
                </c:pt>
                <c:pt idx="24">
                  <c:v>3.17</c:v>
                </c:pt>
                <c:pt idx="25">
                  <c:v>3.65</c:v>
                </c:pt>
                <c:pt idx="26">
                  <c:v>3.89</c:v>
                </c:pt>
                <c:pt idx="27">
                  <c:v>2.99</c:v>
                </c:pt>
                <c:pt idx="28">
                  <c:v>2.1800000000000002</c:v>
                </c:pt>
                <c:pt idx="29">
                  <c:v>1.46</c:v>
                </c:pt>
                <c:pt idx="30">
                  <c:v>2.36</c:v>
                </c:pt>
                <c:pt idx="31">
                  <c:v>3.28</c:v>
                </c:pt>
                <c:pt idx="32">
                  <c:v>3.28</c:v>
                </c:pt>
                <c:pt idx="33">
                  <c:v>3.58</c:v>
                </c:pt>
                <c:pt idx="34">
                  <c:v>4.88</c:v>
                </c:pt>
                <c:pt idx="35">
                  <c:v>5.21</c:v>
                </c:pt>
                <c:pt idx="36">
                  <c:v>5.07</c:v>
                </c:pt>
                <c:pt idx="37">
                  <c:v>4.4400000000000004</c:v>
                </c:pt>
                <c:pt idx="38">
                  <c:v>4.28</c:v>
                </c:pt>
                <c:pt idx="39">
                  <c:v>4.58</c:v>
                </c:pt>
                <c:pt idx="40">
                  <c:v>4.87</c:v>
                </c:pt>
                <c:pt idx="41">
                  <c:v>4.92</c:v>
                </c:pt>
                <c:pt idx="42">
                  <c:v>4.17</c:v>
                </c:pt>
                <c:pt idx="43">
                  <c:v>3.69</c:v>
                </c:pt>
                <c:pt idx="44">
                  <c:v>3.7</c:v>
                </c:pt>
                <c:pt idx="45">
                  <c:v>3.38</c:v>
                </c:pt>
                <c:pt idx="46">
                  <c:v>2.33</c:v>
                </c:pt>
                <c:pt idx="47">
                  <c:v>2.11</c:v>
                </c:pt>
                <c:pt idx="48">
                  <c:v>1.97</c:v>
                </c:pt>
                <c:pt idx="49">
                  <c:v>2.57</c:v>
                </c:pt>
                <c:pt idx="50">
                  <c:v>2.86</c:v>
                </c:pt>
                <c:pt idx="51">
                  <c:v>2.99</c:v>
                </c:pt>
                <c:pt idx="52">
                  <c:v>3.05</c:v>
                </c:pt>
                <c:pt idx="53">
                  <c:v>3.18</c:v>
                </c:pt>
                <c:pt idx="54">
                  <c:v>3.15</c:v>
                </c:pt>
                <c:pt idx="55">
                  <c:v>3.28</c:v>
                </c:pt>
                <c:pt idx="56">
                  <c:v>3.99</c:v>
                </c:pt>
                <c:pt idx="57">
                  <c:v>4.62</c:v>
                </c:pt>
                <c:pt idx="58">
                  <c:v>5.54</c:v>
                </c:pt>
                <c:pt idx="59">
                  <c:v>7.35</c:v>
                </c:pt>
                <c:pt idx="60">
                  <c:v>7.59</c:v>
                </c:pt>
                <c:pt idx="61">
                  <c:v>6.58</c:v>
                </c:pt>
                <c:pt idx="62">
                  <c:v>5.84</c:v>
                </c:pt>
                <c:pt idx="63">
                  <c:v>5.84</c:v>
                </c:pt>
                <c:pt idx="64">
                  <c:v>5.84</c:v>
                </c:pt>
                <c:pt idx="65">
                  <c:v>6.23</c:v>
                </c:pt>
                <c:pt idx="66">
                  <c:v>6.73</c:v>
                </c:pt>
                <c:pt idx="67">
                  <c:v>6.69</c:v>
                </c:pt>
                <c:pt idx="68">
                  <c:v>7.27</c:v>
                </c:pt>
                <c:pt idx="69">
                  <c:v>7.61</c:v>
                </c:pt>
                <c:pt idx="70">
                  <c:v>6.93</c:v>
                </c:pt>
                <c:pt idx="71">
                  <c:v>4.59</c:v>
                </c:pt>
                <c:pt idx="72">
                  <c:v>4.0599999999999996</c:v>
                </c:pt>
                <c:pt idx="73">
                  <c:v>5.03</c:v>
                </c:pt>
                <c:pt idx="74">
                  <c:v>5.52</c:v>
                </c:pt>
                <c:pt idx="75">
                  <c:v>4.2300000000000004</c:v>
                </c:pt>
                <c:pt idx="76">
                  <c:v>6.3</c:v>
                </c:pt>
                <c:pt idx="77">
                  <c:v>6.26</c:v>
                </c:pt>
                <c:pt idx="78">
                  <c:v>5.59</c:v>
                </c:pt>
                <c:pt idx="79">
                  <c:v>5.3</c:v>
                </c:pt>
                <c:pt idx="80">
                  <c:v>4.3499999999999996</c:v>
                </c:pt>
                <c:pt idx="81">
                  <c:v>4.4800000000000004</c:v>
                </c:pt>
                <c:pt idx="82">
                  <c:v>4.91</c:v>
                </c:pt>
                <c:pt idx="83">
                  <c:v>5.66</c:v>
                </c:pt>
                <c:pt idx="84">
                  <c:v>6.01</c:v>
                </c:pt>
                <c:pt idx="85">
                  <c:v>6.07</c:v>
                </c:pt>
                <c:pt idx="86">
                  <c:v>6.95</c:v>
                </c:pt>
                <c:pt idx="87">
                  <c:v>7.79</c:v>
                </c:pt>
                <c:pt idx="88">
                  <c:v>7.04</c:v>
                </c:pt>
                <c:pt idx="89">
                  <c:v>7.01</c:v>
                </c:pt>
                <c:pt idx="90">
                  <c:v>6.71</c:v>
                </c:pt>
                <c:pt idx="91">
                  <c:v>7</c:v>
                </c:pt>
                <c:pt idx="92">
                  <c:v>7.41</c:v>
                </c:pt>
                <c:pt idx="93">
                  <c:v>6.77</c:v>
                </c:pt>
                <c:pt idx="94">
                  <c:v>5.88</c:v>
                </c:pt>
                <c:pt idx="95">
                  <c:v>5.72</c:v>
                </c:pt>
                <c:pt idx="96">
                  <c:v>6.52</c:v>
                </c:pt>
                <c:pt idx="97">
                  <c:v>6.44</c:v>
                </c:pt>
                <c:pt idx="98">
                  <c:v>5.66</c:v>
                </c:pt>
                <c:pt idx="99">
                  <c:v>4.7</c:v>
                </c:pt>
                <c:pt idx="100">
                  <c:v>4.3099999999999996</c:v>
                </c:pt>
                <c:pt idx="101">
                  <c:v>4.87</c:v>
                </c:pt>
                <c:pt idx="102">
                  <c:v>7.44</c:v>
                </c:pt>
                <c:pt idx="103">
                  <c:v>6.83</c:v>
                </c:pt>
                <c:pt idx="104">
                  <c:v>5.0199999999999996</c:v>
                </c:pt>
                <c:pt idx="105">
                  <c:v>4.87</c:v>
                </c:pt>
                <c:pt idx="106">
                  <c:v>5.55</c:v>
                </c:pt>
                <c:pt idx="107">
                  <c:v>5.69</c:v>
                </c:pt>
                <c:pt idx="108">
                  <c:v>5.0999999999999996</c:v>
                </c:pt>
                <c:pt idx="109">
                  <c:v>5.09</c:v>
                </c:pt>
                <c:pt idx="110">
                  <c:v>4.8499999999999996</c:v>
                </c:pt>
                <c:pt idx="111">
                  <c:v>4.83</c:v>
                </c:pt>
                <c:pt idx="112">
                  <c:v>4.8</c:v>
                </c:pt>
                <c:pt idx="113">
                  <c:v>5.08</c:v>
                </c:pt>
                <c:pt idx="114">
                  <c:v>3.6</c:v>
                </c:pt>
                <c:pt idx="115">
                  <c:v>3.65</c:v>
                </c:pt>
                <c:pt idx="116">
                  <c:v>5.49</c:v>
                </c:pt>
                <c:pt idx="117">
                  <c:v>6.21</c:v>
                </c:pt>
                <c:pt idx="118">
                  <c:v>5.48</c:v>
                </c:pt>
                <c:pt idx="119">
                  <c:v>5.22</c:v>
                </c:pt>
                <c:pt idx="120">
                  <c:v>4.26</c:v>
                </c:pt>
                <c:pt idx="121">
                  <c:v>3.61</c:v>
                </c:pt>
                <c:pt idx="122">
                  <c:v>3.34</c:v>
                </c:pt>
                <c:pt idx="123">
                  <c:v>3.16</c:v>
                </c:pt>
                <c:pt idx="124">
                  <c:v>2.82</c:v>
                </c:pt>
                <c:pt idx="125">
                  <c:v>2.1</c:v>
                </c:pt>
                <c:pt idx="126">
                  <c:v>1.61</c:v>
                </c:pt>
                <c:pt idx="127">
                  <c:v>2.0699999999999998</c:v>
                </c:pt>
                <c:pt idx="128">
                  <c:v>1.44</c:v>
                </c:pt>
                <c:pt idx="129">
                  <c:v>0.25</c:v>
                </c:pt>
              </c:numCache>
            </c:numRef>
          </c:xVal>
          <c:yVal>
            <c:numRef>
              <c:f>'Data Sheet'!$F$2:$F$131</c:f>
              <c:numCache>
                <c:formatCode>#,##0.00;\-#,##0.00;0.00</c:formatCode>
                <c:ptCount val="130"/>
                <c:pt idx="0">
                  <c:v>7.91</c:v>
                </c:pt>
                <c:pt idx="1">
                  <c:v>7.49</c:v>
                </c:pt>
                <c:pt idx="2">
                  <c:v>7.64</c:v>
                </c:pt>
                <c:pt idx="3">
                  <c:v>7.55</c:v>
                </c:pt>
                <c:pt idx="4">
                  <c:v>7.35</c:v>
                </c:pt>
                <c:pt idx="5">
                  <c:v>7.21</c:v>
                </c:pt>
                <c:pt idx="6">
                  <c:v>6.95</c:v>
                </c:pt>
                <c:pt idx="7">
                  <c:v>6.89</c:v>
                </c:pt>
                <c:pt idx="8">
                  <c:v>6.9</c:v>
                </c:pt>
                <c:pt idx="9">
                  <c:v>7.1</c:v>
                </c:pt>
                <c:pt idx="10">
                  <c:v>6.61</c:v>
                </c:pt>
                <c:pt idx="11">
                  <c:v>6.73</c:v>
                </c:pt>
                <c:pt idx="12">
                  <c:v>6.65</c:v>
                </c:pt>
                <c:pt idx="13">
                  <c:v>6.7</c:v>
                </c:pt>
                <c:pt idx="14">
                  <c:v>6.77</c:v>
                </c:pt>
                <c:pt idx="15">
                  <c:v>6.94</c:v>
                </c:pt>
                <c:pt idx="16">
                  <c:v>6.42</c:v>
                </c:pt>
                <c:pt idx="17">
                  <c:v>6.44</c:v>
                </c:pt>
                <c:pt idx="18">
                  <c:v>6.29</c:v>
                </c:pt>
                <c:pt idx="19">
                  <c:v>6.29</c:v>
                </c:pt>
                <c:pt idx="20">
                  <c:v>6.39</c:v>
                </c:pt>
                <c:pt idx="21">
                  <c:v>6.4</c:v>
                </c:pt>
                <c:pt idx="22">
                  <c:v>6.22</c:v>
                </c:pt>
                <c:pt idx="23">
                  <c:v>6.03</c:v>
                </c:pt>
                <c:pt idx="24">
                  <c:v>6.06</c:v>
                </c:pt>
                <c:pt idx="25">
                  <c:v>6</c:v>
                </c:pt>
                <c:pt idx="26">
                  <c:v>6</c:v>
                </c:pt>
                <c:pt idx="27">
                  <c:v>5.97</c:v>
                </c:pt>
                <c:pt idx="28">
                  <c:v>5.93</c:v>
                </c:pt>
                <c:pt idx="29">
                  <c:v>6.03</c:v>
                </c:pt>
                <c:pt idx="30">
                  <c:v>6.05</c:v>
                </c:pt>
                <c:pt idx="31">
                  <c:v>6.04</c:v>
                </c:pt>
                <c:pt idx="32">
                  <c:v>5.87</c:v>
                </c:pt>
                <c:pt idx="33">
                  <c:v>5.88</c:v>
                </c:pt>
                <c:pt idx="34">
                  <c:v>5.86</c:v>
                </c:pt>
                <c:pt idx="35">
                  <c:v>5.85</c:v>
                </c:pt>
                <c:pt idx="36">
                  <c:v>5.88</c:v>
                </c:pt>
                <c:pt idx="37">
                  <c:v>5.88</c:v>
                </c:pt>
                <c:pt idx="38">
                  <c:v>5.91</c:v>
                </c:pt>
                <c:pt idx="39">
                  <c:v>5.93</c:v>
                </c:pt>
                <c:pt idx="40">
                  <c:v>5.88</c:v>
                </c:pt>
                <c:pt idx="41">
                  <c:v>5.88</c:v>
                </c:pt>
                <c:pt idx="42">
                  <c:v>6.07</c:v>
                </c:pt>
                <c:pt idx="43">
                  <c:v>6.15</c:v>
                </c:pt>
                <c:pt idx="44">
                  <c:v>6.32</c:v>
                </c:pt>
                <c:pt idx="45">
                  <c:v>6.44</c:v>
                </c:pt>
                <c:pt idx="46">
                  <c:v>6.42</c:v>
                </c:pt>
                <c:pt idx="47">
                  <c:v>6.37</c:v>
                </c:pt>
                <c:pt idx="48">
                  <c:v>6.43</c:v>
                </c:pt>
                <c:pt idx="49">
                  <c:v>6.36</c:v>
                </c:pt>
                <c:pt idx="50">
                  <c:v>6.27</c:v>
                </c:pt>
                <c:pt idx="51">
                  <c:v>6.31</c:v>
                </c:pt>
                <c:pt idx="52">
                  <c:v>6.08</c:v>
                </c:pt>
                <c:pt idx="53">
                  <c:v>5.92</c:v>
                </c:pt>
                <c:pt idx="54">
                  <c:v>5.76</c:v>
                </c:pt>
                <c:pt idx="55">
                  <c:v>5.61</c:v>
                </c:pt>
                <c:pt idx="56">
                  <c:v>5.38</c:v>
                </c:pt>
                <c:pt idx="57">
                  <c:v>5.32</c:v>
                </c:pt>
                <c:pt idx="58">
                  <c:v>5.07</c:v>
                </c:pt>
                <c:pt idx="59">
                  <c:v>5</c:v>
                </c:pt>
                <c:pt idx="60">
                  <c:v>5.0199999999999996</c:v>
                </c:pt>
                <c:pt idx="61">
                  <c:v>4.9400000000000004</c:v>
                </c:pt>
                <c:pt idx="62">
                  <c:v>4.96</c:v>
                </c:pt>
                <c:pt idx="63">
                  <c:v>4.92</c:v>
                </c:pt>
                <c:pt idx="64">
                  <c:v>4.08</c:v>
                </c:pt>
                <c:pt idx="65">
                  <c:v>3.7</c:v>
                </c:pt>
                <c:pt idx="66">
                  <c:v>3.51</c:v>
                </c:pt>
                <c:pt idx="67">
                  <c:v>3.42</c:v>
                </c:pt>
                <c:pt idx="68">
                  <c:v>3.42</c:v>
                </c:pt>
                <c:pt idx="69">
                  <c:v>3.38</c:v>
                </c:pt>
                <c:pt idx="70">
                  <c:v>3.28</c:v>
                </c:pt>
                <c:pt idx="71">
                  <c:v>3.15</c:v>
                </c:pt>
                <c:pt idx="72">
                  <c:v>3.15</c:v>
                </c:pt>
                <c:pt idx="73">
                  <c:v>3.14</c:v>
                </c:pt>
                <c:pt idx="74">
                  <c:v>3.24</c:v>
                </c:pt>
                <c:pt idx="75">
                  <c:v>3.2</c:v>
                </c:pt>
                <c:pt idx="76">
                  <c:v>3.17</c:v>
                </c:pt>
                <c:pt idx="77">
                  <c:v>3.17</c:v>
                </c:pt>
                <c:pt idx="78">
                  <c:v>3.12</c:v>
                </c:pt>
                <c:pt idx="79">
                  <c:v>3.15</c:v>
                </c:pt>
                <c:pt idx="80">
                  <c:v>3.17</c:v>
                </c:pt>
                <c:pt idx="81">
                  <c:v>3.16</c:v>
                </c:pt>
                <c:pt idx="82">
                  <c:v>3.24</c:v>
                </c:pt>
                <c:pt idx="83">
                  <c:v>3.29</c:v>
                </c:pt>
                <c:pt idx="84">
                  <c:v>3.33</c:v>
                </c:pt>
                <c:pt idx="85">
                  <c:v>3.43</c:v>
                </c:pt>
                <c:pt idx="86">
                  <c:v>3.25</c:v>
                </c:pt>
                <c:pt idx="87">
                  <c:v>3.3</c:v>
                </c:pt>
                <c:pt idx="88">
                  <c:v>3.47</c:v>
                </c:pt>
                <c:pt idx="89">
                  <c:v>4</c:v>
                </c:pt>
                <c:pt idx="90">
                  <c:v>4.45</c:v>
                </c:pt>
                <c:pt idx="91">
                  <c:v>4.7300000000000004</c:v>
                </c:pt>
                <c:pt idx="92">
                  <c:v>4.96</c:v>
                </c:pt>
                <c:pt idx="93">
                  <c:v>5.24</c:v>
                </c:pt>
                <c:pt idx="94">
                  <c:v>5.98</c:v>
                </c:pt>
                <c:pt idx="95">
                  <c:v>5.93</c:v>
                </c:pt>
                <c:pt idx="96">
                  <c:v>6.15</c:v>
                </c:pt>
                <c:pt idx="97">
                  <c:v>6.18</c:v>
                </c:pt>
                <c:pt idx="98">
                  <c:v>6.39</c:v>
                </c:pt>
                <c:pt idx="99">
                  <c:v>6.45</c:v>
                </c:pt>
                <c:pt idx="100">
                  <c:v>6.46</c:v>
                </c:pt>
                <c:pt idx="101">
                  <c:v>6.54</c:v>
                </c:pt>
                <c:pt idx="102">
                  <c:v>6.51</c:v>
                </c:pt>
                <c:pt idx="103">
                  <c:v>6.44</c:v>
                </c:pt>
                <c:pt idx="104">
                  <c:v>6.55</c:v>
                </c:pt>
                <c:pt idx="105">
                  <c:v>6.59</c:v>
                </c:pt>
                <c:pt idx="106">
                  <c:v>6.68</c:v>
                </c:pt>
                <c:pt idx="107">
                  <c:v>6.75</c:v>
                </c:pt>
                <c:pt idx="108">
                  <c:v>6.7</c:v>
                </c:pt>
                <c:pt idx="109">
                  <c:v>6.68</c:v>
                </c:pt>
                <c:pt idx="110">
                  <c:v>6.59</c:v>
                </c:pt>
                <c:pt idx="111">
                  <c:v>6.55</c:v>
                </c:pt>
                <c:pt idx="112">
                  <c:v>6.51</c:v>
                </c:pt>
                <c:pt idx="113">
                  <c:v>6.56</c:v>
                </c:pt>
                <c:pt idx="114">
                  <c:v>6.53</c:v>
                </c:pt>
                <c:pt idx="115">
                  <c:v>6.48</c:v>
                </c:pt>
                <c:pt idx="116">
                  <c:v>6.47</c:v>
                </c:pt>
                <c:pt idx="117">
                  <c:v>6.53</c:v>
                </c:pt>
                <c:pt idx="118">
                  <c:v>6.46</c:v>
                </c:pt>
                <c:pt idx="119">
                  <c:v>6.49</c:v>
                </c:pt>
                <c:pt idx="120">
                  <c:v>6.61</c:v>
                </c:pt>
                <c:pt idx="121">
                  <c:v>6.57</c:v>
                </c:pt>
                <c:pt idx="122">
                  <c:v>6.33</c:v>
                </c:pt>
                <c:pt idx="123">
                  <c:v>6.27</c:v>
                </c:pt>
                <c:pt idx="124">
                  <c:v>5.91</c:v>
                </c:pt>
                <c:pt idx="125">
                  <c:v>5.78</c:v>
                </c:pt>
                <c:pt idx="126">
                  <c:v>5.38</c:v>
                </c:pt>
                <c:pt idx="127">
                  <c:v>5.35</c:v>
                </c:pt>
                <c:pt idx="128">
                  <c:v>5.38</c:v>
                </c:pt>
                <c:pt idx="129">
                  <c:v>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C-4327-BE4E-B8D29CE0A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531167"/>
        <c:axId val="790529503"/>
      </c:scatterChart>
      <c:valAx>
        <c:axId val="790531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</a:t>
                </a:r>
                <a:r>
                  <a:rPr lang="en-IN" baseline="0"/>
                  <a:t> CPI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;\-#,##0.00;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529503"/>
        <c:crosses val="autoZero"/>
        <c:crossBetween val="midCat"/>
      </c:valAx>
      <c:valAx>
        <c:axId val="79052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WLR(t-1)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;\-#,##0.00;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53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CCE45B-1F85-43FC-BC51-C806D9821E6A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36A97-DBDC-42E5-B20A-7E55FA14FE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1</xdr:row>
      <xdr:rowOff>41910</xdr:rowOff>
    </xdr:from>
    <xdr:to>
      <xdr:col>15</xdr:col>
      <xdr:colOff>327660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7BC81-C2FF-45DC-A2C2-7E01C1F67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262291</xdr:colOff>
      <xdr:row>28</xdr:row>
      <xdr:rowOff>29444</xdr:rowOff>
    </xdr:from>
    <xdr:to>
      <xdr:col>15</xdr:col>
      <xdr:colOff>337039</xdr:colOff>
      <xdr:row>54</xdr:row>
      <xdr:rowOff>14654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4A71DC-9FA3-4DFB-8512-3240996A1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412752</xdr:colOff>
      <xdr:row>37</xdr:row>
      <xdr:rowOff>7939</xdr:rowOff>
    </xdr:from>
    <xdr:to>
      <xdr:col>14</xdr:col>
      <xdr:colOff>412752</xdr:colOff>
      <xdr:row>40</xdr:row>
      <xdr:rowOff>87314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077C2D8-4A55-4169-8C18-1F4E525B4BAA}"/>
            </a:ext>
          </a:extLst>
        </xdr:cNvPr>
        <xdr:cNvCxnSpPr/>
      </xdr:nvCxnSpPr>
      <xdr:spPr>
        <a:xfrm flipV="1">
          <a:off x="8969377" y="6199189"/>
          <a:ext cx="0" cy="579438"/>
        </a:xfrm>
        <a:prstGeom prst="line">
          <a:avLst/>
        </a:prstGeom>
        <a:ln w="2222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485772</xdr:colOff>
      <xdr:row>37</xdr:row>
      <xdr:rowOff>33334</xdr:rowOff>
    </xdr:from>
    <xdr:to>
      <xdr:col>14</xdr:col>
      <xdr:colOff>485772</xdr:colOff>
      <xdr:row>40</xdr:row>
      <xdr:rowOff>112709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03945EA-4BFC-4042-B13D-68A64EFB4F62}"/>
            </a:ext>
          </a:extLst>
        </xdr:cNvPr>
        <xdr:cNvCxnSpPr/>
      </xdr:nvCxnSpPr>
      <xdr:spPr>
        <a:xfrm flipV="1">
          <a:off x="9042397" y="6224584"/>
          <a:ext cx="0" cy="579438"/>
        </a:xfrm>
        <a:prstGeom prst="line">
          <a:avLst/>
        </a:prstGeom>
        <a:ln w="2222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558793</xdr:colOff>
      <xdr:row>37</xdr:row>
      <xdr:rowOff>19047</xdr:rowOff>
    </xdr:from>
    <xdr:to>
      <xdr:col>14</xdr:col>
      <xdr:colOff>558793</xdr:colOff>
      <xdr:row>40</xdr:row>
      <xdr:rowOff>98422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2D2CC41-BD5A-4350-8199-0AFFDE729262}"/>
            </a:ext>
          </a:extLst>
        </xdr:cNvPr>
        <xdr:cNvCxnSpPr/>
      </xdr:nvCxnSpPr>
      <xdr:spPr>
        <a:xfrm flipV="1">
          <a:off x="9115418" y="6210297"/>
          <a:ext cx="0" cy="579438"/>
        </a:xfrm>
        <a:prstGeom prst="line">
          <a:avLst/>
        </a:prstGeom>
        <a:ln w="2222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20627</xdr:colOff>
      <xdr:row>36</xdr:row>
      <xdr:rowOff>163504</xdr:rowOff>
    </xdr:from>
    <xdr:to>
      <xdr:col>15</xdr:col>
      <xdr:colOff>20627</xdr:colOff>
      <xdr:row>40</xdr:row>
      <xdr:rowOff>76192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7D6A3DD-94CE-4142-A350-94CAB80A0F0F}"/>
            </a:ext>
          </a:extLst>
        </xdr:cNvPr>
        <xdr:cNvCxnSpPr/>
      </xdr:nvCxnSpPr>
      <xdr:spPr>
        <a:xfrm flipV="1">
          <a:off x="9188440" y="6188067"/>
          <a:ext cx="0" cy="579438"/>
        </a:xfrm>
        <a:prstGeom prst="line">
          <a:avLst/>
        </a:prstGeom>
        <a:ln w="2222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96840</xdr:colOff>
      <xdr:row>37</xdr:row>
      <xdr:rowOff>41271</xdr:rowOff>
    </xdr:from>
    <xdr:to>
      <xdr:col>15</xdr:col>
      <xdr:colOff>96840</xdr:colOff>
      <xdr:row>40</xdr:row>
      <xdr:rowOff>120646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00014BF-7685-4154-9838-D3B202AE5368}"/>
            </a:ext>
          </a:extLst>
        </xdr:cNvPr>
        <xdr:cNvCxnSpPr/>
      </xdr:nvCxnSpPr>
      <xdr:spPr>
        <a:xfrm flipV="1">
          <a:off x="9264653" y="6232521"/>
          <a:ext cx="0" cy="579438"/>
        </a:xfrm>
        <a:prstGeom prst="line">
          <a:avLst/>
        </a:prstGeom>
        <a:ln w="2222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224851</xdr:colOff>
      <xdr:row>55</xdr:row>
      <xdr:rowOff>24984</xdr:rowOff>
    </xdr:from>
    <xdr:to>
      <xdr:col>15</xdr:col>
      <xdr:colOff>312295</xdr:colOff>
      <xdr:row>87</xdr:row>
      <xdr:rowOff>149902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578814D-7B23-4F5B-9478-44D206C08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889C-5E36-499B-84AF-E42CC7BF23AD}">
  <dimension ref="A1:F158"/>
  <sheetViews>
    <sheetView zoomScale="87" workbookViewId="0">
      <selection activeCell="I16" sqref="I16"/>
    </sheetView>
  </sheetViews>
  <sheetFormatPr defaultRowHeight="13.2" x14ac:dyDescent="0.25"/>
  <cols>
    <col min="1" max="1" width="22.109375" customWidth="1"/>
    <col min="2" max="2" width="19.44140625" customWidth="1"/>
    <col min="3" max="3" width="21.88671875" customWidth="1"/>
    <col min="4" max="4" width="20" customWidth="1"/>
    <col min="5" max="5" width="14.109375" customWidth="1"/>
    <col min="6" max="6" width="23.6640625" customWidth="1"/>
    <col min="7" max="7" width="20" customWidth="1"/>
    <col min="8" max="8" width="18.77734375" customWidth="1"/>
    <col min="9" max="9" width="21.21875" customWidth="1"/>
  </cols>
  <sheetData>
    <row r="1" spans="1:6" ht="15.6" x14ac:dyDescent="0.35">
      <c r="A1" t="s">
        <v>7</v>
      </c>
      <c r="B1" s="12" t="s">
        <v>35</v>
      </c>
      <c r="C1" s="19" t="s">
        <v>42</v>
      </c>
    </row>
    <row r="2" spans="1:6" ht="13.8" thickBot="1" x14ac:dyDescent="0.3"/>
    <row r="3" spans="1:6" x14ac:dyDescent="0.25">
      <c r="A3" s="11" t="s">
        <v>8</v>
      </c>
      <c r="B3" s="11"/>
    </row>
    <row r="4" spans="1:6" x14ac:dyDescent="0.25">
      <c r="A4" s="8" t="s">
        <v>9</v>
      </c>
      <c r="B4" s="8">
        <v>0.98787689571213044</v>
      </c>
    </row>
    <row r="5" spans="1:6" x14ac:dyDescent="0.25">
      <c r="A5" s="8" t="s">
        <v>10</v>
      </c>
      <c r="B5" s="8">
        <v>0.97590076108183554</v>
      </c>
    </row>
    <row r="6" spans="1:6" x14ac:dyDescent="0.25">
      <c r="A6" s="8" t="s">
        <v>11</v>
      </c>
      <c r="B6" s="8">
        <v>0.97571100329507832</v>
      </c>
    </row>
    <row r="7" spans="1:6" x14ac:dyDescent="0.25">
      <c r="A7" s="8" t="s">
        <v>12</v>
      </c>
      <c r="B7" s="8">
        <v>0.19655543425787186</v>
      </c>
    </row>
    <row r="8" spans="1:6" ht="13.8" thickBot="1" x14ac:dyDescent="0.3">
      <c r="A8" s="9" t="s">
        <v>13</v>
      </c>
      <c r="B8" s="9">
        <v>129</v>
      </c>
    </row>
    <row r="10" spans="1:6" ht="13.8" thickBot="1" x14ac:dyDescent="0.3">
      <c r="A10" t="s">
        <v>14</v>
      </c>
    </row>
    <row r="11" spans="1:6" x14ac:dyDescent="0.25">
      <c r="A11" s="10"/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</row>
    <row r="12" spans="1:6" x14ac:dyDescent="0.25">
      <c r="A12" s="8" t="s">
        <v>15</v>
      </c>
      <c r="B12" s="8">
        <v>1</v>
      </c>
      <c r="C12" s="8">
        <v>198.69006932855183</v>
      </c>
      <c r="D12" s="8">
        <v>198.69006932855183</v>
      </c>
      <c r="E12" s="8">
        <v>5142.8759670901927</v>
      </c>
      <c r="F12" s="8">
        <v>1.2930301605438004E-104</v>
      </c>
    </row>
    <row r="13" spans="1:6" x14ac:dyDescent="0.25">
      <c r="A13" s="8" t="s">
        <v>16</v>
      </c>
      <c r="B13" s="8">
        <v>127</v>
      </c>
      <c r="C13" s="8">
        <v>4.9065229195101745</v>
      </c>
      <c r="D13" s="8">
        <v>3.8634038736300585E-2</v>
      </c>
      <c r="E13" s="8"/>
      <c r="F13" s="8"/>
    </row>
    <row r="14" spans="1:6" ht="13.8" thickBot="1" x14ac:dyDescent="0.3">
      <c r="A14" s="9" t="s">
        <v>17</v>
      </c>
      <c r="B14" s="9">
        <v>128</v>
      </c>
      <c r="C14" s="9">
        <v>203.596592248062</v>
      </c>
      <c r="D14" s="9"/>
      <c r="E14" s="9"/>
      <c r="F14" s="9"/>
    </row>
    <row r="15" spans="1:6" ht="13.8" thickBot="1" x14ac:dyDescent="0.3"/>
    <row r="16" spans="1:6" x14ac:dyDescent="0.25">
      <c r="A16" s="10"/>
      <c r="B16" s="10" t="s">
        <v>24</v>
      </c>
      <c r="C16" s="10" t="s">
        <v>12</v>
      </c>
      <c r="D16" s="10" t="s">
        <v>25</v>
      </c>
      <c r="E16" s="10" t="s">
        <v>26</v>
      </c>
      <c r="F16" s="10" t="s">
        <v>27</v>
      </c>
    </row>
    <row r="17" spans="1:6" x14ac:dyDescent="0.25">
      <c r="A17" s="8" t="s">
        <v>18</v>
      </c>
      <c r="B17" s="8">
        <v>-1.4031642870571739</v>
      </c>
      <c r="C17" s="8">
        <v>9.9068341179736299E-2</v>
      </c>
      <c r="D17" s="8">
        <v>-14.163599292648506</v>
      </c>
      <c r="E17" s="8">
        <v>6.6091302363995407E-28</v>
      </c>
      <c r="F17" s="8">
        <v>-1.5992026558542434</v>
      </c>
    </row>
    <row r="18" spans="1:6" ht="13.8" thickBot="1" x14ac:dyDescent="0.3">
      <c r="A18" s="9">
        <v>7.75</v>
      </c>
      <c r="B18" s="9">
        <v>1.2065760035170154</v>
      </c>
      <c r="C18" s="9">
        <v>1.6824867726901682E-2</v>
      </c>
      <c r="D18" s="9">
        <v>71.713847805637869</v>
      </c>
      <c r="E18" s="9">
        <v>1.2930301605438004E-104</v>
      </c>
      <c r="F18" s="9">
        <v>1.1732826265902307</v>
      </c>
    </row>
    <row r="21" spans="1:6" ht="13.8" thickBot="1" x14ac:dyDescent="0.3"/>
    <row r="22" spans="1:6" x14ac:dyDescent="0.25">
      <c r="A22" s="10" t="s">
        <v>28</v>
      </c>
      <c r="B22" s="10" t="s">
        <v>29</v>
      </c>
      <c r="C22" s="10" t="s">
        <v>30</v>
      </c>
    </row>
    <row r="23" spans="1:6" x14ac:dyDescent="0.25">
      <c r="A23" s="8">
        <v>-1.2071259182601044</v>
      </c>
      <c r="B23" s="8">
        <v>-1.5992026558542434</v>
      </c>
      <c r="C23" s="8">
        <v>-1.2071259182601044</v>
      </c>
    </row>
    <row r="24" spans="1:6" ht="13.8" thickBot="1" x14ac:dyDescent="0.3">
      <c r="A24" s="9">
        <v>1.2398693804438001</v>
      </c>
      <c r="B24" s="9">
        <v>1.1732826265902307</v>
      </c>
      <c r="C24" s="9">
        <v>1.2398693804438001</v>
      </c>
    </row>
    <row r="27" spans="1:6" x14ac:dyDescent="0.25">
      <c r="A27" t="s">
        <v>31</v>
      </c>
    </row>
    <row r="28" spans="1:6" ht="13.8" thickBot="1" x14ac:dyDescent="0.3"/>
    <row r="29" spans="1:6" x14ac:dyDescent="0.25">
      <c r="A29" s="10" t="s">
        <v>32</v>
      </c>
      <c r="B29" s="10" t="s">
        <v>33</v>
      </c>
      <c r="C29" s="10" t="s">
        <v>34</v>
      </c>
    </row>
    <row r="30" spans="1:6" x14ac:dyDescent="0.25">
      <c r="A30" s="8">
        <v>1</v>
      </c>
      <c r="B30" s="8">
        <v>7.947799740199696</v>
      </c>
      <c r="C30" s="8">
        <v>-0.30779974019969636</v>
      </c>
    </row>
    <row r="31" spans="1:6" x14ac:dyDescent="0.25">
      <c r="A31" s="8">
        <v>2</v>
      </c>
      <c r="B31" s="8">
        <v>7.6461557393204425</v>
      </c>
      <c r="C31" s="8">
        <v>-9.6155739320442635E-2</v>
      </c>
    </row>
    <row r="32" spans="1:6" x14ac:dyDescent="0.25">
      <c r="A32" s="8">
        <v>3</v>
      </c>
      <c r="B32" s="8">
        <v>7.6461557393204425</v>
      </c>
      <c r="C32" s="8">
        <v>-0.29615573932044281</v>
      </c>
    </row>
    <row r="33" spans="1:3" x14ac:dyDescent="0.25">
      <c r="A33" s="8">
        <v>4</v>
      </c>
      <c r="B33" s="8">
        <v>7.6461557393204425</v>
      </c>
      <c r="C33" s="8">
        <v>-0.43615573932044249</v>
      </c>
    </row>
    <row r="34" spans="1:3" x14ac:dyDescent="0.25">
      <c r="A34" s="8">
        <v>5</v>
      </c>
      <c r="B34" s="8">
        <v>7.3445117384411889</v>
      </c>
      <c r="C34" s="8">
        <v>-0.3945117384411887</v>
      </c>
    </row>
    <row r="35" spans="1:3" x14ac:dyDescent="0.25">
      <c r="A35" s="8">
        <v>6</v>
      </c>
      <c r="B35" s="8">
        <v>7.3445117384411889</v>
      </c>
      <c r="C35" s="8">
        <v>-0.45451173844118919</v>
      </c>
    </row>
    <row r="36" spans="1:3" x14ac:dyDescent="0.25">
      <c r="A36" s="8">
        <v>7</v>
      </c>
      <c r="B36" s="8">
        <v>7.3445117384411889</v>
      </c>
      <c r="C36" s="8">
        <v>-0.44451173844118852</v>
      </c>
    </row>
    <row r="37" spans="1:3" x14ac:dyDescent="0.25">
      <c r="A37" s="8">
        <v>8</v>
      </c>
      <c r="B37" s="8">
        <v>7.3445117384411889</v>
      </c>
      <c r="C37" s="8">
        <v>-0.24451173844118923</v>
      </c>
    </row>
    <row r="38" spans="1:3" x14ac:dyDescent="0.25">
      <c r="A38" s="8">
        <v>9</v>
      </c>
      <c r="B38" s="8">
        <v>6.7412237366826799</v>
      </c>
      <c r="C38" s="8">
        <v>-0.13122373668267961</v>
      </c>
    </row>
    <row r="39" spans="1:3" x14ac:dyDescent="0.25">
      <c r="A39" s="8">
        <v>10</v>
      </c>
      <c r="B39" s="8">
        <v>6.7412237366826799</v>
      </c>
      <c r="C39" s="8">
        <v>-1.1223736682679508E-2</v>
      </c>
    </row>
    <row r="40" spans="1:3" x14ac:dyDescent="0.25">
      <c r="A40" s="8">
        <v>11</v>
      </c>
      <c r="B40" s="8">
        <v>6.7412237366826799</v>
      </c>
      <c r="C40" s="8">
        <v>-9.1223736682679579E-2</v>
      </c>
    </row>
    <row r="41" spans="1:3" x14ac:dyDescent="0.25">
      <c r="A41" s="8">
        <v>12</v>
      </c>
      <c r="B41" s="8">
        <v>6.7412237366826799</v>
      </c>
      <c r="C41" s="8">
        <v>-4.1223736682679757E-2</v>
      </c>
    </row>
    <row r="42" spans="1:3" x14ac:dyDescent="0.25">
      <c r="A42" s="8">
        <v>13</v>
      </c>
      <c r="B42" s="8">
        <v>6.7412237366826799</v>
      </c>
      <c r="C42" s="8">
        <v>2.8776263317319639E-2</v>
      </c>
    </row>
    <row r="43" spans="1:3" x14ac:dyDescent="0.25">
      <c r="A43" s="8">
        <v>14</v>
      </c>
      <c r="B43" s="8">
        <v>6.7412237366826799</v>
      </c>
      <c r="C43" s="8">
        <v>0.19877626331732046</v>
      </c>
    </row>
    <row r="44" spans="1:3" x14ac:dyDescent="0.25">
      <c r="A44" s="8">
        <v>15</v>
      </c>
      <c r="B44" s="8">
        <v>6.4395797358034264</v>
      </c>
      <c r="C44" s="8">
        <v>-1.9579735803426424E-2</v>
      </c>
    </row>
    <row r="45" spans="1:3" x14ac:dyDescent="0.25">
      <c r="A45" s="8">
        <v>16</v>
      </c>
      <c r="B45" s="8">
        <v>6.4395797358034264</v>
      </c>
      <c r="C45" s="8">
        <v>4.2026419657403835E-4</v>
      </c>
    </row>
    <row r="46" spans="1:3" x14ac:dyDescent="0.25">
      <c r="A46" s="8">
        <v>17</v>
      </c>
      <c r="B46" s="8">
        <v>6.4395797358034264</v>
      </c>
      <c r="C46" s="8">
        <v>-0.14957973580342632</v>
      </c>
    </row>
    <row r="47" spans="1:3" x14ac:dyDescent="0.25">
      <c r="A47" s="8">
        <v>18</v>
      </c>
      <c r="B47" s="8">
        <v>6.4395797358034264</v>
      </c>
      <c r="C47" s="8">
        <v>-0.14957973580342632</v>
      </c>
    </row>
    <row r="48" spans="1:3" x14ac:dyDescent="0.25">
      <c r="A48" s="8">
        <v>19</v>
      </c>
      <c r="B48" s="8">
        <v>6.4395797358034264</v>
      </c>
      <c r="C48" s="8">
        <v>-4.9579735803426672E-2</v>
      </c>
    </row>
    <row r="49" spans="1:3" x14ac:dyDescent="0.25">
      <c r="A49" s="8">
        <v>20</v>
      </c>
      <c r="B49" s="8">
        <v>6.4395797358034264</v>
      </c>
      <c r="C49" s="8">
        <v>-3.9579735803425997E-2</v>
      </c>
    </row>
    <row r="50" spans="1:3" x14ac:dyDescent="0.25">
      <c r="A50" s="8">
        <v>21</v>
      </c>
      <c r="B50" s="8">
        <v>6.1379357349241728</v>
      </c>
      <c r="C50" s="8">
        <v>8.2064265075826981E-2</v>
      </c>
    </row>
    <row r="51" spans="1:3" x14ac:dyDescent="0.25">
      <c r="A51" s="8">
        <v>22</v>
      </c>
      <c r="B51" s="8">
        <v>6.1379357349241728</v>
      </c>
      <c r="C51" s="8">
        <v>-0.10793573492417252</v>
      </c>
    </row>
    <row r="52" spans="1:3" x14ac:dyDescent="0.25">
      <c r="A52" s="8">
        <v>23</v>
      </c>
      <c r="B52" s="8">
        <v>6.1379357349241728</v>
      </c>
      <c r="C52" s="8">
        <v>-7.7935734924173161E-2</v>
      </c>
    </row>
    <row r="53" spans="1:3" x14ac:dyDescent="0.25">
      <c r="A53" s="8">
        <v>24</v>
      </c>
      <c r="B53" s="8">
        <v>6.1379357349241728</v>
      </c>
      <c r="C53" s="8">
        <v>-0.13793573492417277</v>
      </c>
    </row>
    <row r="54" spans="1:3" x14ac:dyDescent="0.25">
      <c r="A54" s="8">
        <v>25</v>
      </c>
      <c r="B54" s="8">
        <v>6.1379357349241728</v>
      </c>
      <c r="C54" s="8">
        <v>-0.13793573492417277</v>
      </c>
    </row>
    <row r="55" spans="1:3" x14ac:dyDescent="0.25">
      <c r="A55" s="8">
        <v>26</v>
      </c>
      <c r="B55" s="8">
        <v>6.1379357349241728</v>
      </c>
      <c r="C55" s="8">
        <v>-0.16793573492417302</v>
      </c>
    </row>
    <row r="56" spans="1:3" x14ac:dyDescent="0.25">
      <c r="A56" s="8">
        <v>27</v>
      </c>
      <c r="B56" s="8">
        <v>6.1379357349241728</v>
      </c>
      <c r="C56" s="8">
        <v>-0.20793573492417305</v>
      </c>
    </row>
    <row r="57" spans="1:3" x14ac:dyDescent="0.25">
      <c r="A57" s="8">
        <v>28</v>
      </c>
      <c r="B57" s="8">
        <v>6.1379357349241728</v>
      </c>
      <c r="C57" s="8">
        <v>-0.10793573492417252</v>
      </c>
    </row>
    <row r="58" spans="1:3" x14ac:dyDescent="0.25">
      <c r="A58" s="8">
        <v>29</v>
      </c>
      <c r="B58" s="8">
        <v>6.1379357349241728</v>
      </c>
      <c r="C58" s="8">
        <v>-8.7935734924172948E-2</v>
      </c>
    </row>
    <row r="59" spans="1:3" x14ac:dyDescent="0.25">
      <c r="A59" s="8">
        <v>30</v>
      </c>
      <c r="B59" s="8">
        <v>6.1379357349241728</v>
      </c>
      <c r="C59" s="8">
        <v>-9.7935734924172735E-2</v>
      </c>
    </row>
    <row r="60" spans="1:3" x14ac:dyDescent="0.25">
      <c r="A60" s="8">
        <v>31</v>
      </c>
      <c r="B60" s="8">
        <v>5.8362917340449192</v>
      </c>
      <c r="C60" s="8">
        <v>3.3708265955080918E-2</v>
      </c>
    </row>
    <row r="61" spans="1:3" x14ac:dyDescent="0.25">
      <c r="A61" s="8">
        <v>32</v>
      </c>
      <c r="B61" s="8">
        <v>5.8362917340449192</v>
      </c>
      <c r="C61" s="8">
        <v>4.3708265955080705E-2</v>
      </c>
    </row>
    <row r="62" spans="1:3" x14ac:dyDescent="0.25">
      <c r="A62" s="8">
        <v>33</v>
      </c>
      <c r="B62" s="8">
        <v>5.8362917340449192</v>
      </c>
      <c r="C62" s="8">
        <v>2.3708265955081131E-2</v>
      </c>
    </row>
    <row r="63" spans="1:3" x14ac:dyDescent="0.25">
      <c r="A63" s="8">
        <v>34</v>
      </c>
      <c r="B63" s="8">
        <v>5.8362917340449192</v>
      </c>
      <c r="C63" s="8">
        <v>1.3708265955080456E-2</v>
      </c>
    </row>
    <row r="64" spans="1:3" x14ac:dyDescent="0.25">
      <c r="A64" s="8">
        <v>35</v>
      </c>
      <c r="B64" s="8">
        <v>5.8362917340449192</v>
      </c>
      <c r="C64" s="8">
        <v>4.3708265955080705E-2</v>
      </c>
    </row>
    <row r="65" spans="1:3" x14ac:dyDescent="0.25">
      <c r="A65" s="8">
        <v>36</v>
      </c>
      <c r="B65" s="8">
        <v>5.8362917340449192</v>
      </c>
      <c r="C65" s="8">
        <v>4.3708265955080705E-2</v>
      </c>
    </row>
    <row r="66" spans="1:3" x14ac:dyDescent="0.25">
      <c r="A66" s="8">
        <v>37</v>
      </c>
      <c r="B66" s="8">
        <v>5.8362917340449192</v>
      </c>
      <c r="C66" s="8">
        <v>7.3708265955080954E-2</v>
      </c>
    </row>
    <row r="67" spans="1:3" x14ac:dyDescent="0.25">
      <c r="A67" s="8">
        <v>38</v>
      </c>
      <c r="B67" s="8">
        <v>5.8362917340449192</v>
      </c>
      <c r="C67" s="8">
        <v>9.3708265955080527E-2</v>
      </c>
    </row>
    <row r="68" spans="1:3" x14ac:dyDescent="0.25">
      <c r="A68" s="8">
        <v>39</v>
      </c>
      <c r="B68" s="8">
        <v>5.8362917340449192</v>
      </c>
      <c r="C68" s="8">
        <v>4.3708265955080705E-2</v>
      </c>
    </row>
    <row r="69" spans="1:3" x14ac:dyDescent="0.25">
      <c r="A69" s="8">
        <v>40</v>
      </c>
      <c r="B69" s="8">
        <v>5.8362917340449192</v>
      </c>
      <c r="C69" s="8">
        <v>4.3708265955080705E-2</v>
      </c>
    </row>
    <row r="70" spans="1:3" x14ac:dyDescent="0.25">
      <c r="A70" s="8">
        <v>41</v>
      </c>
      <c r="B70" s="8">
        <v>6.1379357349241728</v>
      </c>
      <c r="C70" s="8">
        <v>-6.7935734924172486E-2</v>
      </c>
    </row>
    <row r="71" spans="1:3" x14ac:dyDescent="0.25">
      <c r="A71" s="8">
        <v>42</v>
      </c>
      <c r="B71" s="8">
        <v>6.1379357349241728</v>
      </c>
      <c r="C71" s="8">
        <v>1.2064265075827585E-2</v>
      </c>
    </row>
    <row r="72" spans="1:3" x14ac:dyDescent="0.25">
      <c r="A72" s="8">
        <v>43</v>
      </c>
      <c r="B72" s="8">
        <v>6.4395797358034264</v>
      </c>
      <c r="C72" s="8">
        <v>-0.11957973580342607</v>
      </c>
    </row>
    <row r="73" spans="1:3" x14ac:dyDescent="0.25">
      <c r="A73" s="8">
        <v>44</v>
      </c>
      <c r="B73" s="8">
        <v>6.4395797358034264</v>
      </c>
      <c r="C73" s="8">
        <v>4.2026419657403835E-4</v>
      </c>
    </row>
    <row r="74" spans="1:3" x14ac:dyDescent="0.25">
      <c r="A74" s="8">
        <v>45</v>
      </c>
      <c r="B74" s="8">
        <v>6.4395797358034264</v>
      </c>
      <c r="C74" s="8">
        <v>-1.9579735803426424E-2</v>
      </c>
    </row>
    <row r="75" spans="1:3" x14ac:dyDescent="0.25">
      <c r="A75" s="8">
        <v>46</v>
      </c>
      <c r="B75" s="8">
        <v>6.4395797358034264</v>
      </c>
      <c r="C75" s="8">
        <v>-6.9579735803426246E-2</v>
      </c>
    </row>
    <row r="76" spans="1:3" x14ac:dyDescent="0.25">
      <c r="A76" s="8">
        <v>47</v>
      </c>
      <c r="B76" s="8">
        <v>6.4395797358034264</v>
      </c>
      <c r="C76" s="8">
        <v>-9.5797358034266367E-3</v>
      </c>
    </row>
    <row r="77" spans="1:3" x14ac:dyDescent="0.25">
      <c r="A77" s="8">
        <v>48</v>
      </c>
      <c r="B77" s="8">
        <v>6.4395797358034264</v>
      </c>
      <c r="C77" s="8">
        <v>-7.9579735803426033E-2</v>
      </c>
    </row>
    <row r="78" spans="1:3" x14ac:dyDescent="0.25">
      <c r="A78" s="8">
        <v>49</v>
      </c>
      <c r="B78" s="8">
        <v>6.1379357349241728</v>
      </c>
      <c r="C78" s="8">
        <v>0.1320642650758268</v>
      </c>
    </row>
    <row r="79" spans="1:3" x14ac:dyDescent="0.25">
      <c r="A79" s="8">
        <v>50</v>
      </c>
      <c r="B79" s="8">
        <v>6.1379357349241728</v>
      </c>
      <c r="C79" s="8">
        <v>0.17206426507582684</v>
      </c>
    </row>
    <row r="80" spans="1:3" x14ac:dyDescent="0.25">
      <c r="A80" s="8">
        <v>51</v>
      </c>
      <c r="B80" s="8">
        <v>5.8362917340449192</v>
      </c>
      <c r="C80" s="8">
        <v>0.24370826595508088</v>
      </c>
    </row>
    <row r="81" spans="1:3" x14ac:dyDescent="0.25">
      <c r="A81" s="8">
        <v>52</v>
      </c>
      <c r="B81" s="8">
        <v>5.8362917340449192</v>
      </c>
      <c r="C81" s="8">
        <v>8.3708265955080741E-2</v>
      </c>
    </row>
    <row r="82" spans="1:3" x14ac:dyDescent="0.25">
      <c r="A82" s="8">
        <v>53</v>
      </c>
      <c r="B82" s="8">
        <v>5.5346477331656647</v>
      </c>
      <c r="C82" s="8">
        <v>0.22535226683433507</v>
      </c>
    </row>
    <row r="83" spans="1:3" x14ac:dyDescent="0.25">
      <c r="A83" s="8">
        <v>54</v>
      </c>
      <c r="B83" s="8">
        <v>5.5346477331656647</v>
      </c>
      <c r="C83" s="8">
        <v>7.5352266834335602E-2</v>
      </c>
    </row>
    <row r="84" spans="1:3" x14ac:dyDescent="0.25">
      <c r="A84" s="8">
        <v>55</v>
      </c>
      <c r="B84" s="8">
        <v>5.1123461319347099</v>
      </c>
      <c r="C84" s="8">
        <v>0.26765386806529001</v>
      </c>
    </row>
    <row r="85" spans="1:3" x14ac:dyDescent="0.25">
      <c r="A85" s="8">
        <v>56</v>
      </c>
      <c r="B85" s="8">
        <v>5.1123461319347099</v>
      </c>
      <c r="C85" s="8">
        <v>0.2076538680652904</v>
      </c>
    </row>
    <row r="86" spans="1:3" x14ac:dyDescent="0.25">
      <c r="A86" s="8">
        <v>57</v>
      </c>
      <c r="B86" s="8">
        <v>4.8107021310554563</v>
      </c>
      <c r="C86" s="8">
        <v>0.25929786894454399</v>
      </c>
    </row>
    <row r="87" spans="1:3" x14ac:dyDescent="0.25">
      <c r="A87" s="8">
        <v>58</v>
      </c>
      <c r="B87" s="8">
        <v>4.8107021310554563</v>
      </c>
      <c r="C87" s="8">
        <v>0.1892978689445437</v>
      </c>
    </row>
    <row r="88" spans="1:3" x14ac:dyDescent="0.25">
      <c r="A88" s="8">
        <v>59</v>
      </c>
      <c r="B88" s="8">
        <v>4.8107021310554563</v>
      </c>
      <c r="C88" s="8">
        <v>0.20929786894454327</v>
      </c>
    </row>
    <row r="89" spans="1:3" x14ac:dyDescent="0.25">
      <c r="A89" s="8">
        <v>60</v>
      </c>
      <c r="B89" s="8">
        <v>4.8107021310554563</v>
      </c>
      <c r="C89" s="8">
        <v>0.12929786894454409</v>
      </c>
    </row>
    <row r="90" spans="1:3" x14ac:dyDescent="0.25">
      <c r="A90" s="8">
        <v>61</v>
      </c>
      <c r="B90" s="8">
        <v>4.8107021310554563</v>
      </c>
      <c r="C90" s="8">
        <v>0.14929786894454367</v>
      </c>
    </row>
    <row r="91" spans="1:3" x14ac:dyDescent="0.25">
      <c r="A91" s="8">
        <v>62</v>
      </c>
      <c r="B91" s="8">
        <v>3.9057701284176947</v>
      </c>
      <c r="C91" s="8">
        <v>1.0142298715823053</v>
      </c>
    </row>
    <row r="92" spans="1:3" x14ac:dyDescent="0.25">
      <c r="A92" s="8">
        <v>63</v>
      </c>
      <c r="B92" s="8">
        <v>3.9057701284176947</v>
      </c>
      <c r="C92" s="8">
        <v>0.17422987158230541</v>
      </c>
    </row>
    <row r="93" spans="1:3" x14ac:dyDescent="0.25">
      <c r="A93" s="8">
        <v>64</v>
      </c>
      <c r="B93" s="8">
        <v>3.4231397270108879</v>
      </c>
      <c r="C93" s="8">
        <v>0.27686027298911231</v>
      </c>
    </row>
    <row r="94" spans="1:3" x14ac:dyDescent="0.25">
      <c r="A94" s="8">
        <v>65</v>
      </c>
      <c r="B94" s="8">
        <v>3.4231397270108879</v>
      </c>
      <c r="C94" s="8">
        <v>8.686027298911192E-2</v>
      </c>
    </row>
    <row r="95" spans="1:3" x14ac:dyDescent="0.25">
      <c r="A95" s="8">
        <v>66</v>
      </c>
      <c r="B95" s="8">
        <v>3.4231397270108879</v>
      </c>
      <c r="C95" s="8">
        <v>-3.1397270108879383E-3</v>
      </c>
    </row>
    <row r="96" spans="1:3" x14ac:dyDescent="0.25">
      <c r="A96" s="8">
        <v>67</v>
      </c>
      <c r="B96" s="8">
        <v>3.4231397270108879</v>
      </c>
      <c r="C96" s="8">
        <v>-3.1397270108879383E-3</v>
      </c>
    </row>
    <row r="97" spans="1:3" x14ac:dyDescent="0.25">
      <c r="A97" s="8">
        <v>68</v>
      </c>
      <c r="B97" s="8">
        <v>3.4231397270108879</v>
      </c>
      <c r="C97" s="8">
        <v>-4.3139727010887974E-2</v>
      </c>
    </row>
    <row r="98" spans="1:3" x14ac:dyDescent="0.25">
      <c r="A98" s="8">
        <v>69</v>
      </c>
      <c r="B98" s="8">
        <v>3.4231397270108879</v>
      </c>
      <c r="C98" s="8">
        <v>-0.14313972701088806</v>
      </c>
    </row>
    <row r="99" spans="1:3" x14ac:dyDescent="0.25">
      <c r="A99" s="8">
        <v>70</v>
      </c>
      <c r="B99" s="8">
        <v>3.4231397270108879</v>
      </c>
      <c r="C99" s="8">
        <v>-0.27313972701088796</v>
      </c>
    </row>
    <row r="100" spans="1:3" x14ac:dyDescent="0.25">
      <c r="A100" s="8">
        <v>71</v>
      </c>
      <c r="B100" s="8">
        <v>3.4231397270108879</v>
      </c>
      <c r="C100" s="8">
        <v>-0.27313972701088796</v>
      </c>
    </row>
    <row r="101" spans="1:3" x14ac:dyDescent="0.25">
      <c r="A101" s="8">
        <v>72</v>
      </c>
      <c r="B101" s="8">
        <v>3.4231397270108879</v>
      </c>
      <c r="C101" s="8">
        <v>-0.28313972701088774</v>
      </c>
    </row>
    <row r="102" spans="1:3" x14ac:dyDescent="0.25">
      <c r="A102" s="8">
        <v>73</v>
      </c>
      <c r="B102" s="8">
        <v>3.4231397270108879</v>
      </c>
      <c r="C102" s="8">
        <v>-0.18313972701088765</v>
      </c>
    </row>
    <row r="103" spans="1:3" x14ac:dyDescent="0.25">
      <c r="A103" s="8">
        <v>74</v>
      </c>
      <c r="B103" s="8">
        <v>3.4231397270108879</v>
      </c>
      <c r="C103" s="8">
        <v>-0.22313972701088769</v>
      </c>
    </row>
    <row r="104" spans="1:3" x14ac:dyDescent="0.25">
      <c r="A104" s="8">
        <v>75</v>
      </c>
      <c r="B104" s="8">
        <v>3.4231397270108879</v>
      </c>
      <c r="C104" s="8">
        <v>-0.25313972701088794</v>
      </c>
    </row>
    <row r="105" spans="1:3" x14ac:dyDescent="0.25">
      <c r="A105" s="8">
        <v>76</v>
      </c>
      <c r="B105" s="8">
        <v>3.4231397270108879</v>
      </c>
      <c r="C105" s="8">
        <v>-0.25313972701088794</v>
      </c>
    </row>
    <row r="106" spans="1:3" x14ac:dyDescent="0.25">
      <c r="A106" s="8">
        <v>77</v>
      </c>
      <c r="B106" s="8">
        <v>3.4231397270108879</v>
      </c>
      <c r="C106" s="8">
        <v>-0.30313972701088776</v>
      </c>
    </row>
    <row r="107" spans="1:3" x14ac:dyDescent="0.25">
      <c r="A107" s="8">
        <v>78</v>
      </c>
      <c r="B107" s="8">
        <v>3.4231397270108879</v>
      </c>
      <c r="C107" s="8">
        <v>-0.27313972701088796</v>
      </c>
    </row>
    <row r="108" spans="1:3" x14ac:dyDescent="0.25">
      <c r="A108" s="8">
        <v>79</v>
      </c>
      <c r="B108" s="8">
        <v>3.4231397270108879</v>
      </c>
      <c r="C108" s="8">
        <v>-0.25313972701088794</v>
      </c>
    </row>
    <row r="109" spans="1:3" x14ac:dyDescent="0.25">
      <c r="A109" s="8">
        <v>80</v>
      </c>
      <c r="B109" s="8">
        <v>3.4231397270108879</v>
      </c>
      <c r="C109" s="8">
        <v>-0.26313972701088773</v>
      </c>
    </row>
    <row r="110" spans="1:3" x14ac:dyDescent="0.25">
      <c r="A110" s="8">
        <v>81</v>
      </c>
      <c r="B110" s="8">
        <v>3.4231397270108879</v>
      </c>
      <c r="C110" s="8">
        <v>-0.18313972701088765</v>
      </c>
    </row>
    <row r="111" spans="1:3" x14ac:dyDescent="0.25">
      <c r="A111" s="8">
        <v>82</v>
      </c>
      <c r="B111" s="8">
        <v>3.4231397270108879</v>
      </c>
      <c r="C111" s="8">
        <v>-0.13313972701088783</v>
      </c>
    </row>
    <row r="112" spans="1:3" x14ac:dyDescent="0.25">
      <c r="A112" s="8">
        <v>83</v>
      </c>
      <c r="B112" s="8">
        <v>3.4231397270108879</v>
      </c>
      <c r="C112" s="8">
        <v>-9.3139727010887796E-2</v>
      </c>
    </row>
    <row r="113" spans="1:3" x14ac:dyDescent="0.25">
      <c r="A113" s="8">
        <v>84</v>
      </c>
      <c r="B113" s="8">
        <v>3.4231397270108879</v>
      </c>
      <c r="C113" s="8">
        <v>6.8602729891122927E-3</v>
      </c>
    </row>
    <row r="114" spans="1:3" x14ac:dyDescent="0.25">
      <c r="A114" s="8">
        <v>85</v>
      </c>
      <c r="B114" s="8">
        <v>3.4231397270108879</v>
      </c>
      <c r="C114" s="8">
        <v>-0.17313972701088787</v>
      </c>
    </row>
    <row r="115" spans="1:3" x14ac:dyDescent="0.25">
      <c r="A115" s="8">
        <v>86</v>
      </c>
      <c r="B115" s="8">
        <v>3.4231397270108879</v>
      </c>
      <c r="C115" s="8">
        <v>-0.12313972701088804</v>
      </c>
    </row>
    <row r="116" spans="1:3" x14ac:dyDescent="0.25">
      <c r="A116" s="8">
        <v>87</v>
      </c>
      <c r="B116" s="8">
        <v>3.4231397270108879</v>
      </c>
      <c r="C116" s="8">
        <v>4.6860272989112328E-2</v>
      </c>
    </row>
    <row r="117" spans="1:3" x14ac:dyDescent="0.25">
      <c r="A117" s="8">
        <v>88</v>
      </c>
      <c r="B117" s="8">
        <v>3.9057701284176947</v>
      </c>
      <c r="C117" s="8">
        <v>9.4229871582305336E-2</v>
      </c>
    </row>
    <row r="118" spans="1:3" x14ac:dyDescent="0.25">
      <c r="A118" s="8">
        <v>89</v>
      </c>
      <c r="B118" s="8">
        <v>4.5090581301762018</v>
      </c>
      <c r="C118" s="8">
        <v>-5.9058130176201651E-2</v>
      </c>
    </row>
    <row r="119" spans="1:3" x14ac:dyDescent="0.25">
      <c r="A119" s="8">
        <v>90</v>
      </c>
      <c r="B119" s="8">
        <v>4.5090581301762018</v>
      </c>
      <c r="C119" s="8">
        <v>0.2209418698237986</v>
      </c>
    </row>
    <row r="120" spans="1:3" x14ac:dyDescent="0.25">
      <c r="A120" s="8">
        <v>91</v>
      </c>
      <c r="B120" s="8">
        <v>5.1123461319347099</v>
      </c>
      <c r="C120" s="8">
        <v>-0.15234613193470992</v>
      </c>
    </row>
    <row r="121" spans="1:3" x14ac:dyDescent="0.25">
      <c r="A121" s="8">
        <v>92</v>
      </c>
      <c r="B121" s="8">
        <v>5.7156341336932179</v>
      </c>
      <c r="C121" s="8">
        <v>-0.47563413369321772</v>
      </c>
    </row>
    <row r="122" spans="1:3" x14ac:dyDescent="0.25">
      <c r="A122" s="8">
        <v>93</v>
      </c>
      <c r="B122" s="8">
        <v>5.7156341336932179</v>
      </c>
      <c r="C122" s="8">
        <v>0.26436586630678249</v>
      </c>
    </row>
    <row r="123" spans="1:3" x14ac:dyDescent="0.25">
      <c r="A123" s="8">
        <v>94</v>
      </c>
      <c r="B123" s="8">
        <v>5.7156341336932179</v>
      </c>
      <c r="C123" s="8">
        <v>0.21436586630678178</v>
      </c>
    </row>
    <row r="124" spans="1:3" x14ac:dyDescent="0.25">
      <c r="A124" s="8">
        <v>95</v>
      </c>
      <c r="B124" s="8">
        <v>6.1379357349241728</v>
      </c>
      <c r="C124" s="8">
        <v>1.2064265075827585E-2</v>
      </c>
    </row>
    <row r="125" spans="1:3" x14ac:dyDescent="0.25">
      <c r="A125" s="8">
        <v>96</v>
      </c>
      <c r="B125" s="8">
        <v>6.1379357349241728</v>
      </c>
      <c r="C125" s="8">
        <v>4.2064265075826945E-2</v>
      </c>
    </row>
    <row r="126" spans="1:3" x14ac:dyDescent="0.25">
      <c r="A126" s="8">
        <v>97</v>
      </c>
      <c r="B126" s="8">
        <v>6.4395797358034264</v>
      </c>
      <c r="C126" s="8">
        <v>-4.9579735803426672E-2</v>
      </c>
    </row>
    <row r="127" spans="1:3" x14ac:dyDescent="0.25">
      <c r="A127" s="8">
        <v>98</v>
      </c>
      <c r="B127" s="8">
        <v>6.4395797358034264</v>
      </c>
      <c r="C127" s="8">
        <v>1.0420264196573825E-2</v>
      </c>
    </row>
    <row r="128" spans="1:3" x14ac:dyDescent="0.25">
      <c r="A128" s="8">
        <v>99</v>
      </c>
      <c r="B128" s="8">
        <v>6.4395797358034264</v>
      </c>
      <c r="C128" s="8">
        <v>2.0420264196573612E-2</v>
      </c>
    </row>
    <row r="129" spans="1:3" x14ac:dyDescent="0.25">
      <c r="A129" s="8">
        <v>100</v>
      </c>
      <c r="B129" s="8">
        <v>6.4395797358034264</v>
      </c>
      <c r="C129" s="8">
        <v>0.10042026419657368</v>
      </c>
    </row>
    <row r="130" spans="1:3" x14ac:dyDescent="0.25">
      <c r="A130" s="8">
        <v>101</v>
      </c>
      <c r="B130" s="8">
        <v>6.4395797358034264</v>
      </c>
      <c r="C130" s="8">
        <v>7.0420264196573434E-2</v>
      </c>
    </row>
    <row r="131" spans="1:3" x14ac:dyDescent="0.25">
      <c r="A131" s="8">
        <v>102</v>
      </c>
      <c r="B131" s="8">
        <v>6.4395797358034264</v>
      </c>
      <c r="C131" s="8">
        <v>4.2026419657403835E-4</v>
      </c>
    </row>
    <row r="132" spans="1:3" x14ac:dyDescent="0.25">
      <c r="A132" s="8">
        <v>103</v>
      </c>
      <c r="B132" s="8">
        <v>6.4395797358034264</v>
      </c>
      <c r="C132" s="8">
        <v>0.11042026419657347</v>
      </c>
    </row>
    <row r="133" spans="1:3" x14ac:dyDescent="0.25">
      <c r="A133" s="8">
        <v>104</v>
      </c>
      <c r="B133" s="8">
        <v>6.4395797358034264</v>
      </c>
      <c r="C133" s="8">
        <v>0.15042026419657351</v>
      </c>
    </row>
    <row r="134" spans="1:3" x14ac:dyDescent="0.25">
      <c r="A134" s="8">
        <v>105</v>
      </c>
      <c r="B134" s="8">
        <v>6.4395797358034264</v>
      </c>
      <c r="C134" s="8">
        <v>0.24042026419657336</v>
      </c>
    </row>
    <row r="135" spans="1:3" x14ac:dyDescent="0.25">
      <c r="A135" s="8">
        <v>106</v>
      </c>
      <c r="B135" s="8">
        <v>6.4395797358034264</v>
      </c>
      <c r="C135" s="8">
        <v>0.31042026419657365</v>
      </c>
    </row>
    <row r="136" spans="1:3" x14ac:dyDescent="0.25">
      <c r="A136" s="8">
        <v>107</v>
      </c>
      <c r="B136" s="8">
        <v>6.4395797358034264</v>
      </c>
      <c r="C136" s="8">
        <v>0.26042026419657383</v>
      </c>
    </row>
    <row r="137" spans="1:3" x14ac:dyDescent="0.25">
      <c r="A137" s="8">
        <v>108</v>
      </c>
      <c r="B137" s="8">
        <v>6.4395797358034264</v>
      </c>
      <c r="C137" s="8">
        <v>0.24042026419657336</v>
      </c>
    </row>
    <row r="138" spans="1:3" x14ac:dyDescent="0.25">
      <c r="A138" s="8">
        <v>109</v>
      </c>
      <c r="B138" s="8">
        <v>6.4395797358034264</v>
      </c>
      <c r="C138" s="8">
        <v>0.15042026419657351</v>
      </c>
    </row>
    <row r="139" spans="1:3" x14ac:dyDescent="0.25">
      <c r="A139" s="8">
        <v>110</v>
      </c>
      <c r="B139" s="8">
        <v>6.4395797358034264</v>
      </c>
      <c r="C139" s="8">
        <v>0.11042026419657347</v>
      </c>
    </row>
    <row r="140" spans="1:3" x14ac:dyDescent="0.25">
      <c r="A140" s="8">
        <v>111</v>
      </c>
      <c r="B140" s="8">
        <v>6.4395797358034264</v>
      </c>
      <c r="C140" s="8">
        <v>7.0420264196573434E-2</v>
      </c>
    </row>
    <row r="141" spans="1:3" x14ac:dyDescent="0.25">
      <c r="A141" s="8">
        <v>112</v>
      </c>
      <c r="B141" s="8">
        <v>6.4395797358034264</v>
      </c>
      <c r="C141" s="8">
        <v>0.12042026419657326</v>
      </c>
    </row>
    <row r="142" spans="1:3" x14ac:dyDescent="0.25">
      <c r="A142" s="8">
        <v>113</v>
      </c>
      <c r="B142" s="8">
        <v>6.4395797358034264</v>
      </c>
      <c r="C142" s="8">
        <v>9.0420264196573896E-2</v>
      </c>
    </row>
    <row r="143" spans="1:3" x14ac:dyDescent="0.25">
      <c r="A143" s="8">
        <v>114</v>
      </c>
      <c r="B143" s="8">
        <v>6.4395797358034264</v>
      </c>
      <c r="C143" s="8">
        <v>4.0420264196574074E-2</v>
      </c>
    </row>
    <row r="144" spans="1:3" x14ac:dyDescent="0.25">
      <c r="A144" s="8">
        <v>115</v>
      </c>
      <c r="B144" s="8">
        <v>6.4395797358034264</v>
      </c>
      <c r="C144" s="8">
        <v>3.0420264196573399E-2</v>
      </c>
    </row>
    <row r="145" spans="1:3" x14ac:dyDescent="0.25">
      <c r="A145" s="8">
        <v>116</v>
      </c>
      <c r="B145" s="8">
        <v>6.4395797358034264</v>
      </c>
      <c r="C145" s="8">
        <v>9.0420264196573896E-2</v>
      </c>
    </row>
    <row r="146" spans="1:3" x14ac:dyDescent="0.25">
      <c r="A146" s="8">
        <v>117</v>
      </c>
      <c r="B146" s="8">
        <v>6.4395797358034264</v>
      </c>
      <c r="C146" s="8">
        <v>2.0420264196573612E-2</v>
      </c>
    </row>
    <row r="147" spans="1:3" x14ac:dyDescent="0.25">
      <c r="A147" s="8">
        <v>118</v>
      </c>
      <c r="B147" s="8">
        <v>6.4395797358034264</v>
      </c>
      <c r="C147" s="8">
        <v>5.0420264196573861E-2</v>
      </c>
    </row>
    <row r="148" spans="1:3" x14ac:dyDescent="0.25">
      <c r="A148" s="8">
        <v>119</v>
      </c>
      <c r="B148" s="8">
        <v>6.4395797358034264</v>
      </c>
      <c r="C148" s="8">
        <v>0.17042026419657397</v>
      </c>
    </row>
    <row r="149" spans="1:3" x14ac:dyDescent="0.25">
      <c r="A149" s="8">
        <v>120</v>
      </c>
      <c r="B149" s="8">
        <v>6.4395797358034264</v>
      </c>
      <c r="C149" s="8">
        <v>0.13042026419657393</v>
      </c>
    </row>
    <row r="150" spans="1:3" x14ac:dyDescent="0.25">
      <c r="A150" s="8">
        <v>121</v>
      </c>
      <c r="B150" s="8">
        <v>6.1379357349241728</v>
      </c>
      <c r="C150" s="8">
        <v>0.1920642650758273</v>
      </c>
    </row>
    <row r="151" spans="1:3" x14ac:dyDescent="0.25">
      <c r="A151" s="8">
        <v>122</v>
      </c>
      <c r="B151" s="8">
        <v>6.1379357349241728</v>
      </c>
      <c r="C151" s="8">
        <v>0.1320642650758268</v>
      </c>
    </row>
    <row r="152" spans="1:3" x14ac:dyDescent="0.25">
      <c r="A152" s="8">
        <v>123</v>
      </c>
      <c r="B152" s="8">
        <v>5.8362917340449192</v>
      </c>
      <c r="C152" s="8">
        <v>7.3708265955080954E-2</v>
      </c>
    </row>
    <row r="153" spans="1:3" x14ac:dyDescent="0.25">
      <c r="A153" s="8">
        <v>124</v>
      </c>
      <c r="B153" s="8">
        <v>5.8362917340449192</v>
      </c>
      <c r="C153" s="8">
        <v>-5.629173404491894E-2</v>
      </c>
    </row>
    <row r="154" spans="1:3" x14ac:dyDescent="0.25">
      <c r="A154" s="8">
        <v>125</v>
      </c>
      <c r="B154" s="8">
        <v>5.2330037322864111</v>
      </c>
      <c r="C154" s="8">
        <v>0.14699626771358876</v>
      </c>
    </row>
    <row r="155" spans="1:3" x14ac:dyDescent="0.25">
      <c r="A155" s="8">
        <v>126</v>
      </c>
      <c r="B155" s="8">
        <v>5.2330037322864111</v>
      </c>
      <c r="C155" s="8">
        <v>0.11699626771358851</v>
      </c>
    </row>
    <row r="156" spans="1:3" x14ac:dyDescent="0.25">
      <c r="A156" s="8">
        <v>127</v>
      </c>
      <c r="B156" s="8">
        <v>5.2330037322864111</v>
      </c>
      <c r="C156" s="8">
        <v>0.14699626771358876</v>
      </c>
    </row>
    <row r="157" spans="1:3" x14ac:dyDescent="0.25">
      <c r="A157" s="8">
        <v>128</v>
      </c>
      <c r="B157" s="8">
        <v>5.2330037322864111</v>
      </c>
      <c r="C157" s="8">
        <v>0.19699626771358858</v>
      </c>
    </row>
    <row r="158" spans="1:3" ht="13.8" thickBot="1" x14ac:dyDescent="0.3">
      <c r="A158" s="9">
        <v>129</v>
      </c>
      <c r="B158" s="9">
        <v>5.2330037322864111</v>
      </c>
      <c r="C158" s="9">
        <v>0.20699626771358925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C3EB-8005-4FD8-BB6D-D0F91F8F331B}">
  <dimension ref="A1:F24"/>
  <sheetViews>
    <sheetView workbookViewId="0">
      <selection activeCell="F28" sqref="F28"/>
    </sheetView>
  </sheetViews>
  <sheetFormatPr defaultRowHeight="13.2" x14ac:dyDescent="0.25"/>
  <cols>
    <col min="1" max="1" width="21.88671875" customWidth="1"/>
    <col min="2" max="2" width="23.21875" customWidth="1"/>
    <col min="3" max="3" width="22.5546875" customWidth="1"/>
    <col min="4" max="4" width="16" customWidth="1"/>
    <col min="5" max="5" width="18.6640625" customWidth="1"/>
    <col min="6" max="6" width="23.44140625" customWidth="1"/>
    <col min="7" max="7" width="18.6640625" customWidth="1"/>
    <col min="8" max="8" width="19" customWidth="1"/>
    <col min="9" max="9" width="24.21875" customWidth="1"/>
  </cols>
  <sheetData>
    <row r="1" spans="1:6" ht="15.6" x14ac:dyDescent="0.35">
      <c r="A1" t="s">
        <v>7</v>
      </c>
      <c r="B1" s="12" t="s">
        <v>36</v>
      </c>
      <c r="C1" s="19" t="s">
        <v>43</v>
      </c>
    </row>
    <row r="2" spans="1:6" ht="13.8" thickBot="1" x14ac:dyDescent="0.3"/>
    <row r="3" spans="1:6" x14ac:dyDescent="0.25">
      <c r="A3" s="11" t="s">
        <v>8</v>
      </c>
      <c r="B3" s="11"/>
    </row>
    <row r="4" spans="1:6" x14ac:dyDescent="0.25">
      <c r="A4" s="8" t="s">
        <v>9</v>
      </c>
      <c r="B4" s="8">
        <v>0.98546799246015226</v>
      </c>
    </row>
    <row r="5" spans="1:6" x14ac:dyDescent="0.25">
      <c r="A5" s="8" t="s">
        <v>10</v>
      </c>
      <c r="B5" s="8">
        <v>0.97114716416344282</v>
      </c>
    </row>
    <row r="6" spans="1:6" x14ac:dyDescent="0.25">
      <c r="A6" s="8" t="s">
        <v>11</v>
      </c>
      <c r="B6" s="8">
        <v>0.97091997647969042</v>
      </c>
    </row>
    <row r="7" spans="1:6" x14ac:dyDescent="0.25">
      <c r="A7" s="8" t="s">
        <v>12</v>
      </c>
      <c r="B7" s="8">
        <v>0.21506891503125897</v>
      </c>
    </row>
    <row r="8" spans="1:6" ht="13.8" thickBot="1" x14ac:dyDescent="0.3">
      <c r="A8" s="9" t="s">
        <v>13</v>
      </c>
      <c r="B8" s="9">
        <v>129</v>
      </c>
    </row>
    <row r="10" spans="1:6" ht="13.8" thickBot="1" x14ac:dyDescent="0.3">
      <c r="A10" t="s">
        <v>14</v>
      </c>
    </row>
    <row r="11" spans="1:6" x14ac:dyDescent="0.25">
      <c r="A11" s="10"/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</row>
    <row r="12" spans="1:6" x14ac:dyDescent="0.25">
      <c r="A12" s="8" t="s">
        <v>15</v>
      </c>
      <c r="B12" s="8">
        <v>1</v>
      </c>
      <c r="C12" s="8">
        <v>197.72225319504619</v>
      </c>
      <c r="D12" s="8">
        <v>197.72225319504619</v>
      </c>
      <c r="E12" s="8">
        <v>4274.6470588685816</v>
      </c>
      <c r="F12" s="8">
        <v>1.1951182059870509E-99</v>
      </c>
    </row>
    <row r="13" spans="1:6" x14ac:dyDescent="0.25">
      <c r="A13" s="8" t="s">
        <v>16</v>
      </c>
      <c r="B13" s="8">
        <v>127</v>
      </c>
      <c r="C13" s="8">
        <v>5.8743390530158068</v>
      </c>
      <c r="D13" s="8">
        <v>4.6254638212722889E-2</v>
      </c>
      <c r="E13" s="8"/>
      <c r="F13" s="8"/>
    </row>
    <row r="14" spans="1:6" ht="13.8" thickBot="1" x14ac:dyDescent="0.3">
      <c r="A14" s="9" t="s">
        <v>17</v>
      </c>
      <c r="B14" s="9">
        <v>128</v>
      </c>
      <c r="C14" s="9">
        <v>203.596592248062</v>
      </c>
      <c r="D14" s="9"/>
      <c r="E14" s="9"/>
      <c r="F14" s="9"/>
    </row>
    <row r="15" spans="1:6" ht="13.8" thickBot="1" x14ac:dyDescent="0.3"/>
    <row r="16" spans="1:6" x14ac:dyDescent="0.25">
      <c r="A16" s="10"/>
      <c r="B16" s="10" t="s">
        <v>24</v>
      </c>
      <c r="C16" s="10" t="s">
        <v>12</v>
      </c>
      <c r="D16" s="10" t="s">
        <v>25</v>
      </c>
      <c r="E16" s="10" t="s">
        <v>26</v>
      </c>
      <c r="F16" s="10" t="s">
        <v>27</v>
      </c>
    </row>
    <row r="17" spans="1:6" x14ac:dyDescent="0.25">
      <c r="A17" s="8" t="s">
        <v>18</v>
      </c>
      <c r="B17" s="8">
        <v>-1.3145112985819782</v>
      </c>
      <c r="C17" s="8">
        <v>0.10732150947584514</v>
      </c>
      <c r="D17" s="8">
        <v>-12.248348956346309</v>
      </c>
      <c r="E17" s="8">
        <v>2.9609631853434695E-23</v>
      </c>
      <c r="F17" s="8">
        <v>-1.5268811980265782</v>
      </c>
    </row>
    <row r="18" spans="1:6" ht="13.8" thickBot="1" x14ac:dyDescent="0.3">
      <c r="A18" s="9">
        <v>8</v>
      </c>
      <c r="B18" s="9">
        <v>1.1877117343425656</v>
      </c>
      <c r="C18" s="9">
        <v>1.8166067182028508E-2</v>
      </c>
      <c r="D18" s="9">
        <v>65.380785089111413</v>
      </c>
      <c r="E18" s="9">
        <v>1.1951182059871865E-99</v>
      </c>
      <c r="F18" s="9">
        <v>1.1517643657340431</v>
      </c>
    </row>
    <row r="21" spans="1:6" ht="13.8" thickBot="1" x14ac:dyDescent="0.3"/>
    <row r="22" spans="1:6" x14ac:dyDescent="0.25">
      <c r="A22" s="10" t="s">
        <v>28</v>
      </c>
      <c r="B22" s="10" t="s">
        <v>29</v>
      </c>
      <c r="C22" s="10" t="s">
        <v>30</v>
      </c>
    </row>
    <row r="23" spans="1:6" x14ac:dyDescent="0.25">
      <c r="A23" s="8">
        <v>-1.1021413991373783</v>
      </c>
      <c r="B23" s="8">
        <v>-1.5268811980265782</v>
      </c>
      <c r="C23" s="8">
        <v>-1.1021413991373783</v>
      </c>
    </row>
    <row r="24" spans="1:6" ht="13.8" thickBot="1" x14ac:dyDescent="0.3">
      <c r="A24" s="9">
        <v>1.2236591029510882</v>
      </c>
      <c r="B24" s="9">
        <v>1.1517643657340431</v>
      </c>
      <c r="C24" s="9">
        <v>1.2236591029510882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C830-F6CB-4108-BC39-132E24D4DDFD}">
  <dimension ref="A1:F26"/>
  <sheetViews>
    <sheetView zoomScale="93" workbookViewId="0">
      <selection activeCell="A32" sqref="A32"/>
    </sheetView>
  </sheetViews>
  <sheetFormatPr defaultRowHeight="13.2" x14ac:dyDescent="0.25"/>
  <cols>
    <col min="1" max="1" width="25.109375" customWidth="1"/>
    <col min="2" max="2" width="21" customWidth="1"/>
    <col min="3" max="3" width="30.77734375" customWidth="1"/>
    <col min="4" max="4" width="14.33203125" customWidth="1"/>
    <col min="5" max="5" width="16" customWidth="1"/>
    <col min="6" max="6" width="19.77734375" customWidth="1"/>
    <col min="7" max="7" width="21.6640625" customWidth="1"/>
    <col min="8" max="8" width="18.44140625" customWidth="1"/>
    <col min="9" max="9" width="18.6640625" customWidth="1"/>
  </cols>
  <sheetData>
    <row r="1" spans="1:6" ht="16.2" x14ac:dyDescent="0.35">
      <c r="A1" t="s">
        <v>7</v>
      </c>
      <c r="B1" s="12" t="s">
        <v>36</v>
      </c>
      <c r="C1" s="4" t="s">
        <v>37</v>
      </c>
    </row>
    <row r="2" spans="1:6" ht="13.8" thickBot="1" x14ac:dyDescent="0.3"/>
    <row r="3" spans="1:6" x14ac:dyDescent="0.25">
      <c r="A3" s="11" t="s">
        <v>8</v>
      </c>
      <c r="B3" s="11"/>
    </row>
    <row r="4" spans="1:6" x14ac:dyDescent="0.25">
      <c r="A4" s="8" t="s">
        <v>9</v>
      </c>
      <c r="B4" s="8">
        <v>0.99133868218835242</v>
      </c>
    </row>
    <row r="5" spans="1:6" x14ac:dyDescent="0.25">
      <c r="A5" s="8" t="s">
        <v>10</v>
      </c>
      <c r="B5" s="8">
        <v>0.9827523828029392</v>
      </c>
    </row>
    <row r="6" spans="1:6" x14ac:dyDescent="0.25">
      <c r="A6" s="8" t="s">
        <v>11</v>
      </c>
      <c r="B6" s="8">
        <v>0.98248076678408791</v>
      </c>
    </row>
    <row r="7" spans="1:6" x14ac:dyDescent="0.25">
      <c r="A7" s="8" t="s">
        <v>12</v>
      </c>
      <c r="B7" s="8">
        <v>0.16773619957455216</v>
      </c>
    </row>
    <row r="8" spans="1:6" ht="13.8" thickBot="1" x14ac:dyDescent="0.3">
      <c r="A8" s="9" t="s">
        <v>13</v>
      </c>
      <c r="B8" s="9">
        <v>130</v>
      </c>
    </row>
    <row r="10" spans="1:6" ht="13.8" thickBot="1" x14ac:dyDescent="0.3">
      <c r="A10" t="s">
        <v>14</v>
      </c>
    </row>
    <row r="11" spans="1:6" x14ac:dyDescent="0.25">
      <c r="A11" s="10"/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</row>
    <row r="12" spans="1:6" x14ac:dyDescent="0.25">
      <c r="A12" s="8" t="s">
        <v>15</v>
      </c>
      <c r="B12" s="8">
        <v>2</v>
      </c>
      <c r="C12" s="8">
        <v>203.59744313066338</v>
      </c>
      <c r="D12" s="8">
        <v>101.79872156533169</v>
      </c>
      <c r="E12" s="8">
        <v>3618.167981987754</v>
      </c>
      <c r="F12" s="8">
        <v>1.0772044655044783E-112</v>
      </c>
    </row>
    <row r="13" spans="1:6" x14ac:dyDescent="0.25">
      <c r="A13" s="8" t="s">
        <v>16</v>
      </c>
      <c r="B13" s="8">
        <v>127</v>
      </c>
      <c r="C13" s="8">
        <v>3.5731999462596766</v>
      </c>
      <c r="D13" s="8">
        <v>2.8135432647713988E-2</v>
      </c>
      <c r="E13" s="8"/>
      <c r="F13" s="8"/>
    </row>
    <row r="14" spans="1:6" ht="13.8" thickBot="1" x14ac:dyDescent="0.3">
      <c r="A14" s="9" t="s">
        <v>17</v>
      </c>
      <c r="B14" s="9">
        <v>129</v>
      </c>
      <c r="C14" s="9">
        <v>207.17064307692306</v>
      </c>
      <c r="D14" s="9"/>
      <c r="E14" s="9"/>
      <c r="F14" s="9"/>
    </row>
    <row r="15" spans="1:6" ht="13.8" thickBot="1" x14ac:dyDescent="0.3"/>
    <row r="16" spans="1:6" x14ac:dyDescent="0.25">
      <c r="A16" s="10"/>
      <c r="B16" s="10" t="s">
        <v>24</v>
      </c>
      <c r="C16" s="10" t="s">
        <v>12</v>
      </c>
      <c r="D16" s="10" t="s">
        <v>25</v>
      </c>
      <c r="E16" s="10" t="s">
        <v>26</v>
      </c>
      <c r="F16" s="10" t="s">
        <v>27</v>
      </c>
    </row>
    <row r="17" spans="1:6" x14ac:dyDescent="0.25">
      <c r="A17" s="8" t="s">
        <v>18</v>
      </c>
      <c r="B17" s="8">
        <v>-0.95766633306481541</v>
      </c>
      <c r="C17" s="8">
        <v>0.10053768396640539</v>
      </c>
      <c r="D17" s="8">
        <v>-9.525446531917515</v>
      </c>
      <c r="E17" s="8">
        <v>1.4718754515589955E-16</v>
      </c>
      <c r="F17" s="8">
        <v>-1.1566122660713203</v>
      </c>
    </row>
    <row r="18" spans="1:6" x14ac:dyDescent="0.25">
      <c r="A18" s="8" t="s">
        <v>1</v>
      </c>
      <c r="B18" s="8">
        <v>0.82818905622305239</v>
      </c>
      <c r="C18" s="8">
        <v>5.2314540376464679E-2</v>
      </c>
      <c r="D18" s="8">
        <v>15.830953502855182</v>
      </c>
      <c r="E18" s="8">
        <v>7.6758135411875968E-32</v>
      </c>
      <c r="F18" s="8">
        <v>0.72466802177710288</v>
      </c>
    </row>
    <row r="19" spans="1:6" ht="13.8" thickBot="1" x14ac:dyDescent="0.3">
      <c r="A19" s="9" t="s">
        <v>4</v>
      </c>
      <c r="B19" s="9">
        <v>0.31005499640761508</v>
      </c>
      <c r="C19" s="9">
        <v>4.1967653620777604E-2</v>
      </c>
      <c r="D19" s="9">
        <v>7.3879516641385727</v>
      </c>
      <c r="E19" s="9">
        <v>1.750337477541238E-11</v>
      </c>
      <c r="F19" s="9">
        <v>0.22700858359717738</v>
      </c>
    </row>
    <row r="22" spans="1:6" ht="13.8" thickBot="1" x14ac:dyDescent="0.3"/>
    <row r="23" spans="1:6" x14ac:dyDescent="0.25">
      <c r="A23" s="10" t="s">
        <v>28</v>
      </c>
      <c r="B23" s="10" t="s">
        <v>29</v>
      </c>
      <c r="C23" s="10" t="s">
        <v>30</v>
      </c>
    </row>
    <row r="24" spans="1:6" x14ac:dyDescent="0.25">
      <c r="A24" s="8">
        <v>-0.75872040005831054</v>
      </c>
      <c r="B24" s="8">
        <v>-1.1566122660713203</v>
      </c>
      <c r="C24" s="8">
        <v>-0.75872040005831054</v>
      </c>
    </row>
    <row r="25" spans="1:6" x14ac:dyDescent="0.25">
      <c r="A25" s="8">
        <v>0.9317100906690019</v>
      </c>
      <c r="B25" s="8">
        <v>0.72466802177710288</v>
      </c>
      <c r="C25" s="8">
        <v>0.9317100906690019</v>
      </c>
    </row>
    <row r="26" spans="1:6" ht="13.8" thickBot="1" x14ac:dyDescent="0.3">
      <c r="A26" s="9">
        <v>0.39310140921805281</v>
      </c>
      <c r="B26" s="9">
        <v>0.22700858359717738</v>
      </c>
      <c r="C26" s="9">
        <v>0.39310140921805281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269D-D7A0-497C-B7D5-8CA28A9E44A9}">
  <dimension ref="A1:F23"/>
  <sheetViews>
    <sheetView workbookViewId="0">
      <selection activeCell="B28" sqref="B28"/>
    </sheetView>
  </sheetViews>
  <sheetFormatPr defaultRowHeight="13.2" x14ac:dyDescent="0.25"/>
  <cols>
    <col min="1" max="1" width="16.88671875" customWidth="1"/>
    <col min="2" max="2" width="28.6640625" customWidth="1"/>
    <col min="3" max="3" width="19.6640625" customWidth="1"/>
    <col min="4" max="4" width="15.21875" customWidth="1"/>
    <col min="5" max="5" width="15.77734375" customWidth="1"/>
    <col min="6" max="6" width="18.33203125" customWidth="1"/>
    <col min="7" max="7" width="17.33203125" customWidth="1"/>
    <col min="8" max="8" width="18.88671875" customWidth="1"/>
    <col min="9" max="9" width="14.6640625" customWidth="1"/>
  </cols>
  <sheetData>
    <row r="1" spans="1:6" ht="16.2" x14ac:dyDescent="0.35">
      <c r="A1" t="s">
        <v>7</v>
      </c>
      <c r="B1" s="12" t="s">
        <v>36</v>
      </c>
      <c r="C1" s="4" t="s">
        <v>38</v>
      </c>
    </row>
    <row r="2" spans="1:6" ht="13.8" thickBot="1" x14ac:dyDescent="0.3"/>
    <row r="3" spans="1:6" x14ac:dyDescent="0.25">
      <c r="A3" s="11" t="s">
        <v>8</v>
      </c>
      <c r="B3" s="11"/>
    </row>
    <row r="4" spans="1:6" x14ac:dyDescent="0.25">
      <c r="A4" s="8" t="s">
        <v>9</v>
      </c>
      <c r="B4" s="8">
        <v>0.33446198002867905</v>
      </c>
    </row>
    <row r="5" spans="1:6" x14ac:dyDescent="0.25">
      <c r="A5" s="8" t="s">
        <v>10</v>
      </c>
      <c r="B5" s="8">
        <v>0.11186481608470451</v>
      </c>
    </row>
    <row r="6" spans="1:6" x14ac:dyDescent="0.25">
      <c r="A6" s="8" t="s">
        <v>11</v>
      </c>
      <c r="B6" s="8">
        <v>0.10492625996036627</v>
      </c>
    </row>
    <row r="7" spans="1:6" x14ac:dyDescent="0.25">
      <c r="A7" s="8" t="s">
        <v>12</v>
      </c>
      <c r="B7" s="8">
        <v>1.4409507031179392</v>
      </c>
    </row>
    <row r="8" spans="1:6" ht="13.8" thickBot="1" x14ac:dyDescent="0.3">
      <c r="A8" s="9" t="s">
        <v>13</v>
      </c>
      <c r="B8" s="9">
        <v>130</v>
      </c>
    </row>
    <row r="10" spans="1:6" ht="13.8" thickBot="1" x14ac:dyDescent="0.3">
      <c r="A10" t="s">
        <v>14</v>
      </c>
    </row>
    <row r="11" spans="1:6" x14ac:dyDescent="0.25">
      <c r="A11" s="10"/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</row>
    <row r="12" spans="1:6" x14ac:dyDescent="0.25">
      <c r="A12" s="8" t="s">
        <v>15</v>
      </c>
      <c r="B12" s="8">
        <v>1</v>
      </c>
      <c r="C12" s="8">
        <v>33.475159419233762</v>
      </c>
      <c r="D12" s="8">
        <v>33.475159419233762</v>
      </c>
      <c r="E12" s="8">
        <v>16.122203824556287</v>
      </c>
      <c r="F12" s="8">
        <v>1.0055824927805571E-4</v>
      </c>
    </row>
    <row r="13" spans="1:6" x14ac:dyDescent="0.25">
      <c r="A13" s="8" t="s">
        <v>16</v>
      </c>
      <c r="B13" s="8">
        <v>128</v>
      </c>
      <c r="C13" s="8">
        <v>265.77138288845867</v>
      </c>
      <c r="D13" s="8">
        <v>2.0763389288160834</v>
      </c>
      <c r="E13" s="8"/>
      <c r="F13" s="8"/>
    </row>
    <row r="14" spans="1:6" ht="13.8" thickBot="1" x14ac:dyDescent="0.3">
      <c r="A14" s="9" t="s">
        <v>17</v>
      </c>
      <c r="B14" s="9">
        <v>129</v>
      </c>
      <c r="C14" s="9">
        <v>299.24654230769244</v>
      </c>
      <c r="D14" s="9"/>
      <c r="E14" s="9"/>
      <c r="F14" s="9"/>
    </row>
    <row r="15" spans="1:6" ht="13.8" thickBot="1" x14ac:dyDescent="0.3"/>
    <row r="16" spans="1:6" x14ac:dyDescent="0.25">
      <c r="A16" s="10"/>
      <c r="B16" s="10" t="s">
        <v>24</v>
      </c>
      <c r="C16" s="10" t="s">
        <v>12</v>
      </c>
      <c r="D16" s="10" t="s">
        <v>25</v>
      </c>
      <c r="E16" s="10" t="s">
        <v>26</v>
      </c>
      <c r="F16" s="10" t="s">
        <v>27</v>
      </c>
    </row>
    <row r="17" spans="1:6" x14ac:dyDescent="0.25">
      <c r="A17" s="8" t="s">
        <v>18</v>
      </c>
      <c r="B17" s="8">
        <v>7.019931683755825</v>
      </c>
      <c r="C17" s="8">
        <v>0.57040479463218918</v>
      </c>
      <c r="D17" s="8">
        <v>12.306929657354033</v>
      </c>
      <c r="E17" s="8">
        <v>1.8821164410373389E-23</v>
      </c>
      <c r="F17" s="8">
        <v>5.8912883440093751</v>
      </c>
    </row>
    <row r="18" spans="1:6" ht="13.8" thickBot="1" x14ac:dyDescent="0.3">
      <c r="A18" s="9" t="s">
        <v>5</v>
      </c>
      <c r="B18" s="9">
        <v>-0.39699339425481206</v>
      </c>
      <c r="C18" s="9">
        <v>9.8871489465522308E-2</v>
      </c>
      <c r="D18" s="9">
        <v>-4.015246421398845</v>
      </c>
      <c r="E18" s="9">
        <v>1.0055824927805825E-4</v>
      </c>
      <c r="F18" s="9">
        <v>-0.59262752834028964</v>
      </c>
    </row>
    <row r="20" spans="1:6" ht="13.8" thickBot="1" x14ac:dyDescent="0.3"/>
    <row r="21" spans="1:6" x14ac:dyDescent="0.25">
      <c r="A21" s="10" t="s">
        <v>28</v>
      </c>
      <c r="B21" s="10" t="s">
        <v>29</v>
      </c>
      <c r="C21" s="10" t="s">
        <v>30</v>
      </c>
    </row>
    <row r="22" spans="1:6" x14ac:dyDescent="0.25">
      <c r="A22" s="8">
        <v>8.1485750235022749</v>
      </c>
      <c r="B22" s="8">
        <v>5.8912883440093751</v>
      </c>
      <c r="C22" s="8">
        <v>8.1485750235022749</v>
      </c>
    </row>
    <row r="23" spans="1:6" ht="13.8" thickBot="1" x14ac:dyDescent="0.3">
      <c r="A23" s="9">
        <v>-0.2013592601693345</v>
      </c>
      <c r="B23" s="9">
        <v>-0.59262752834028964</v>
      </c>
      <c r="C23" s="9">
        <v>-0.2013592601693345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CD66-87BB-46AE-93DD-173C569A4813}">
  <dimension ref="A1:K138"/>
  <sheetViews>
    <sheetView tabSelected="1" zoomScale="80" zoomScaleNormal="124" workbookViewId="0">
      <selection activeCell="J26" sqref="J26"/>
    </sheetView>
  </sheetViews>
  <sheetFormatPr defaultRowHeight="13.2" x14ac:dyDescent="0.25"/>
  <cols>
    <col min="1" max="1" width="14.21875" customWidth="1"/>
    <col min="2" max="2" width="25.5546875" customWidth="1"/>
    <col min="3" max="3" width="40.33203125" customWidth="1"/>
    <col min="4" max="4" width="23.88671875" customWidth="1"/>
    <col min="5" max="5" width="26.6640625" customWidth="1"/>
    <col min="6" max="6" width="19.109375" customWidth="1"/>
    <col min="7" max="9" width="16.33203125" customWidth="1"/>
    <col min="10" max="10" width="14.44140625" style="14" customWidth="1"/>
    <col min="11" max="11" width="13.6640625" customWidth="1"/>
  </cols>
  <sheetData>
    <row r="1" spans="1:11" ht="80.400000000000006" customHeight="1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41</v>
      </c>
      <c r="F1" s="18" t="s">
        <v>5</v>
      </c>
      <c r="G1" s="18" t="s">
        <v>6</v>
      </c>
      <c r="I1" s="3"/>
      <c r="J1" s="7" t="s">
        <v>40</v>
      </c>
      <c r="K1" s="22" t="s">
        <v>39</v>
      </c>
    </row>
    <row r="2" spans="1:11" x14ac:dyDescent="0.25">
      <c r="A2" s="5">
        <v>42035</v>
      </c>
      <c r="B2" s="2">
        <v>7.75</v>
      </c>
      <c r="C2" s="2">
        <v>7.49</v>
      </c>
      <c r="D2" s="2">
        <v>5.19</v>
      </c>
      <c r="E2" s="2">
        <v>8</v>
      </c>
      <c r="F2" s="2">
        <v>7.91</v>
      </c>
      <c r="G2" s="2">
        <v>4.28</v>
      </c>
      <c r="J2" s="20">
        <v>45991</v>
      </c>
      <c r="K2">
        <v>5.31</v>
      </c>
    </row>
    <row r="3" spans="1:11" x14ac:dyDescent="0.25">
      <c r="A3" s="5">
        <v>42063</v>
      </c>
      <c r="B3" s="1">
        <v>7.75</v>
      </c>
      <c r="C3" s="1">
        <v>7.64</v>
      </c>
      <c r="D3" s="1">
        <v>5.37</v>
      </c>
      <c r="E3" s="1">
        <f>B2</f>
        <v>7.75</v>
      </c>
      <c r="F3" s="1">
        <f>C2</f>
        <v>7.49</v>
      </c>
      <c r="G3" s="1">
        <f>D2</f>
        <v>5.19</v>
      </c>
      <c r="J3" s="20">
        <v>46021</v>
      </c>
      <c r="K3">
        <v>5.31</v>
      </c>
    </row>
    <row r="4" spans="1:11" x14ac:dyDescent="0.25">
      <c r="A4" s="5">
        <v>42094</v>
      </c>
      <c r="B4" s="2">
        <v>7.5</v>
      </c>
      <c r="C4" s="2">
        <v>7.55</v>
      </c>
      <c r="D4" s="2">
        <v>5.25</v>
      </c>
      <c r="E4" s="2">
        <f t="shared" ref="E4:E67" si="0">B3</f>
        <v>7.75</v>
      </c>
      <c r="F4" s="2">
        <f t="shared" ref="F4:F67" si="1">C3</f>
        <v>7.64</v>
      </c>
      <c r="G4" s="2">
        <f t="shared" ref="G4:G67" si="2">D3</f>
        <v>5.37</v>
      </c>
      <c r="J4" s="20">
        <v>46052</v>
      </c>
      <c r="K4">
        <v>5.31</v>
      </c>
    </row>
    <row r="5" spans="1:11" x14ac:dyDescent="0.25">
      <c r="A5" s="5">
        <v>42124</v>
      </c>
      <c r="B5" s="1">
        <v>7.5</v>
      </c>
      <c r="C5" s="1">
        <v>7.35</v>
      </c>
      <c r="D5" s="1">
        <v>4.87</v>
      </c>
      <c r="E5" s="1">
        <f t="shared" si="0"/>
        <v>7.5</v>
      </c>
      <c r="F5" s="1">
        <f t="shared" si="1"/>
        <v>7.55</v>
      </c>
      <c r="G5" s="1">
        <f t="shared" si="2"/>
        <v>5.25</v>
      </c>
      <c r="J5" s="20">
        <v>46081</v>
      </c>
      <c r="K5">
        <v>5.31</v>
      </c>
    </row>
    <row r="6" spans="1:11" x14ac:dyDescent="0.25">
      <c r="A6" s="5">
        <v>42155</v>
      </c>
      <c r="B6" s="2">
        <v>7.5</v>
      </c>
      <c r="C6" s="2">
        <v>7.21</v>
      </c>
      <c r="D6" s="2">
        <v>5.01</v>
      </c>
      <c r="E6" s="2">
        <f t="shared" si="0"/>
        <v>7.5</v>
      </c>
      <c r="F6" s="2">
        <f t="shared" si="1"/>
        <v>7.35</v>
      </c>
      <c r="G6" s="2">
        <f t="shared" si="2"/>
        <v>4.87</v>
      </c>
      <c r="J6" s="21">
        <v>46109</v>
      </c>
      <c r="K6" s="6">
        <v>5.31</v>
      </c>
    </row>
    <row r="7" spans="1:11" x14ac:dyDescent="0.25">
      <c r="A7" s="5">
        <v>42185</v>
      </c>
      <c r="B7" s="1">
        <v>7.25</v>
      </c>
      <c r="C7" s="1">
        <v>6.95</v>
      </c>
      <c r="D7" s="1">
        <v>5.4</v>
      </c>
      <c r="E7" s="1">
        <f t="shared" si="0"/>
        <v>7.5</v>
      </c>
      <c r="F7" s="1">
        <f t="shared" si="1"/>
        <v>7.21</v>
      </c>
      <c r="G7" s="1">
        <f t="shared" si="2"/>
        <v>5.01</v>
      </c>
      <c r="J7" s="21">
        <v>46140</v>
      </c>
      <c r="K7" s="6">
        <v>5.31</v>
      </c>
    </row>
    <row r="8" spans="1:11" x14ac:dyDescent="0.25">
      <c r="A8" s="5">
        <v>42216</v>
      </c>
      <c r="B8" s="2">
        <v>7.25</v>
      </c>
      <c r="C8" s="2">
        <v>6.89</v>
      </c>
      <c r="D8" s="2">
        <v>3.69</v>
      </c>
      <c r="E8" s="2">
        <f t="shared" si="0"/>
        <v>7.25</v>
      </c>
      <c r="F8" s="2">
        <f t="shared" si="1"/>
        <v>6.95</v>
      </c>
      <c r="G8" s="2">
        <f t="shared" si="2"/>
        <v>5.4</v>
      </c>
      <c r="J8" s="21">
        <v>46170</v>
      </c>
      <c r="K8" s="6">
        <v>5.31</v>
      </c>
    </row>
    <row r="9" spans="1:11" x14ac:dyDescent="0.25">
      <c r="A9" s="5">
        <v>42247</v>
      </c>
      <c r="B9" s="1">
        <v>7.25</v>
      </c>
      <c r="C9" s="1">
        <v>6.9</v>
      </c>
      <c r="D9" s="1">
        <v>3.74</v>
      </c>
      <c r="E9" s="1">
        <f t="shared" si="0"/>
        <v>7.25</v>
      </c>
      <c r="F9" s="1">
        <f t="shared" si="1"/>
        <v>6.89</v>
      </c>
      <c r="G9" s="1">
        <f t="shared" si="2"/>
        <v>3.69</v>
      </c>
      <c r="J9" s="15"/>
      <c r="K9" s="6"/>
    </row>
    <row r="10" spans="1:11" x14ac:dyDescent="0.25">
      <c r="A10" s="5">
        <v>42277</v>
      </c>
      <c r="B10" s="2">
        <v>7.25</v>
      </c>
      <c r="C10" s="2">
        <v>7.1</v>
      </c>
      <c r="D10" s="2">
        <v>4.41</v>
      </c>
      <c r="E10" s="2">
        <f t="shared" si="0"/>
        <v>7.25</v>
      </c>
      <c r="F10" s="2">
        <f t="shared" si="1"/>
        <v>6.9</v>
      </c>
      <c r="G10" s="2">
        <f t="shared" si="2"/>
        <v>3.74</v>
      </c>
      <c r="J10" s="15"/>
      <c r="K10" s="6"/>
    </row>
    <row r="11" spans="1:11" x14ac:dyDescent="0.25">
      <c r="A11" s="5">
        <v>42308</v>
      </c>
      <c r="B11" s="1">
        <v>6.75</v>
      </c>
      <c r="C11" s="1">
        <v>6.61</v>
      </c>
      <c r="D11" s="1">
        <v>5</v>
      </c>
      <c r="E11" s="1">
        <f t="shared" si="0"/>
        <v>7.25</v>
      </c>
      <c r="F11" s="1">
        <f t="shared" si="1"/>
        <v>7.1</v>
      </c>
      <c r="G11" s="1">
        <f t="shared" si="2"/>
        <v>4.41</v>
      </c>
      <c r="J11" s="15"/>
      <c r="K11" s="6"/>
    </row>
    <row r="12" spans="1:11" x14ac:dyDescent="0.25">
      <c r="A12" s="5">
        <v>42338</v>
      </c>
      <c r="B12" s="2">
        <v>6.75</v>
      </c>
      <c r="C12" s="2">
        <v>6.73</v>
      </c>
      <c r="D12" s="2">
        <v>5.41</v>
      </c>
      <c r="E12" s="2">
        <f t="shared" si="0"/>
        <v>6.75</v>
      </c>
      <c r="F12" s="2">
        <f t="shared" si="1"/>
        <v>6.61</v>
      </c>
      <c r="G12" s="2">
        <f t="shared" si="2"/>
        <v>5</v>
      </c>
      <c r="J12" s="15"/>
      <c r="K12" s="6"/>
    </row>
    <row r="13" spans="1:11" x14ac:dyDescent="0.25">
      <c r="A13" s="5">
        <v>42369</v>
      </c>
      <c r="B13" s="1">
        <v>6.75</v>
      </c>
      <c r="C13" s="1">
        <v>6.65</v>
      </c>
      <c r="D13" s="1">
        <v>5.61</v>
      </c>
      <c r="E13" s="1">
        <f t="shared" si="0"/>
        <v>6.75</v>
      </c>
      <c r="F13" s="1">
        <f t="shared" si="1"/>
        <v>6.73</v>
      </c>
      <c r="G13" s="1">
        <f t="shared" si="2"/>
        <v>5.41</v>
      </c>
      <c r="J13" s="15"/>
      <c r="K13" s="13"/>
    </row>
    <row r="14" spans="1:11" x14ac:dyDescent="0.25">
      <c r="A14" s="5">
        <v>42400</v>
      </c>
      <c r="B14" s="2">
        <v>6.75</v>
      </c>
      <c r="C14" s="2">
        <v>6.7</v>
      </c>
      <c r="D14" s="2">
        <v>5.69</v>
      </c>
      <c r="E14" s="2">
        <f t="shared" si="0"/>
        <v>6.75</v>
      </c>
      <c r="F14" s="2">
        <f t="shared" si="1"/>
        <v>6.65</v>
      </c>
      <c r="G14" s="2">
        <f t="shared" si="2"/>
        <v>5.61</v>
      </c>
      <c r="J14" s="15"/>
      <c r="K14" s="6"/>
    </row>
    <row r="15" spans="1:11" x14ac:dyDescent="0.25">
      <c r="A15" s="5">
        <v>42429</v>
      </c>
      <c r="B15" s="1">
        <v>6.75</v>
      </c>
      <c r="C15" s="1">
        <v>6.77</v>
      </c>
      <c r="D15" s="1">
        <v>5.26</v>
      </c>
      <c r="E15" s="1">
        <f t="shared" si="0"/>
        <v>6.75</v>
      </c>
      <c r="F15" s="1">
        <f t="shared" si="1"/>
        <v>6.7</v>
      </c>
      <c r="G15" s="1">
        <f t="shared" si="2"/>
        <v>5.69</v>
      </c>
      <c r="J15" s="15"/>
      <c r="K15" s="6"/>
    </row>
    <row r="16" spans="1:11" x14ac:dyDescent="0.25">
      <c r="A16" s="5">
        <v>42460</v>
      </c>
      <c r="B16" s="2">
        <v>6.75</v>
      </c>
      <c r="C16" s="2">
        <v>6.94</v>
      </c>
      <c r="D16" s="2">
        <v>4.83</v>
      </c>
      <c r="E16" s="2">
        <f t="shared" si="0"/>
        <v>6.75</v>
      </c>
      <c r="F16" s="2">
        <f t="shared" si="1"/>
        <v>6.77</v>
      </c>
      <c r="G16" s="2">
        <f t="shared" si="2"/>
        <v>5.26</v>
      </c>
      <c r="J16" s="15"/>
      <c r="K16" s="6"/>
    </row>
    <row r="17" spans="1:11" x14ac:dyDescent="0.25">
      <c r="A17" s="5">
        <v>42490</v>
      </c>
      <c r="B17" s="1">
        <v>6.5</v>
      </c>
      <c r="C17" s="1">
        <v>6.42</v>
      </c>
      <c r="D17" s="1">
        <v>5.47</v>
      </c>
      <c r="E17" s="1">
        <f t="shared" si="0"/>
        <v>6.75</v>
      </c>
      <c r="F17" s="1">
        <f t="shared" si="1"/>
        <v>6.94</v>
      </c>
      <c r="G17" s="1">
        <f t="shared" si="2"/>
        <v>4.83</v>
      </c>
      <c r="J17" s="15"/>
      <c r="K17" s="6"/>
    </row>
    <row r="18" spans="1:11" x14ac:dyDescent="0.25">
      <c r="A18" s="5">
        <v>42521</v>
      </c>
      <c r="B18" s="2">
        <v>6.5</v>
      </c>
      <c r="C18" s="2">
        <v>6.44</v>
      </c>
      <c r="D18" s="2">
        <v>5.76</v>
      </c>
      <c r="E18" s="2">
        <f t="shared" si="0"/>
        <v>6.5</v>
      </c>
      <c r="F18" s="2">
        <f t="shared" si="1"/>
        <v>6.42</v>
      </c>
      <c r="G18" s="2">
        <f t="shared" si="2"/>
        <v>5.47</v>
      </c>
      <c r="J18" s="15"/>
      <c r="K18" s="6"/>
    </row>
    <row r="19" spans="1:11" x14ac:dyDescent="0.25">
      <c r="A19" s="5">
        <v>42551</v>
      </c>
      <c r="B19" s="1">
        <v>6.5</v>
      </c>
      <c r="C19" s="1">
        <v>6.29</v>
      </c>
      <c r="D19" s="1">
        <v>5.77</v>
      </c>
      <c r="E19" s="1">
        <f t="shared" si="0"/>
        <v>6.5</v>
      </c>
      <c r="F19" s="1">
        <f t="shared" si="1"/>
        <v>6.44</v>
      </c>
      <c r="G19" s="1">
        <f t="shared" si="2"/>
        <v>5.76</v>
      </c>
      <c r="J19" s="15"/>
      <c r="K19" s="6"/>
    </row>
    <row r="20" spans="1:11" x14ac:dyDescent="0.25">
      <c r="A20" s="5">
        <v>42582</v>
      </c>
      <c r="B20" s="2">
        <v>6.5</v>
      </c>
      <c r="C20" s="2">
        <v>6.29</v>
      </c>
      <c r="D20" s="2">
        <v>6.07</v>
      </c>
      <c r="E20" s="2">
        <f t="shared" si="0"/>
        <v>6.5</v>
      </c>
      <c r="F20" s="2">
        <f t="shared" si="1"/>
        <v>6.29</v>
      </c>
      <c r="G20" s="2">
        <f t="shared" si="2"/>
        <v>5.77</v>
      </c>
      <c r="J20" s="15"/>
      <c r="K20" s="6"/>
    </row>
    <row r="21" spans="1:11" x14ac:dyDescent="0.25">
      <c r="A21" s="5">
        <v>42613</v>
      </c>
      <c r="B21" s="1">
        <v>6.5</v>
      </c>
      <c r="C21" s="1">
        <v>6.39</v>
      </c>
      <c r="D21" s="1">
        <v>5.05</v>
      </c>
      <c r="E21" s="1">
        <f t="shared" si="0"/>
        <v>6.5</v>
      </c>
      <c r="F21" s="1">
        <f t="shared" si="1"/>
        <v>6.29</v>
      </c>
      <c r="G21" s="1">
        <f t="shared" si="2"/>
        <v>6.07</v>
      </c>
      <c r="J21" s="15"/>
      <c r="K21" s="6"/>
    </row>
    <row r="22" spans="1:11" x14ac:dyDescent="0.25">
      <c r="A22" s="5">
        <v>42643</v>
      </c>
      <c r="B22" s="2">
        <v>6.5</v>
      </c>
      <c r="C22" s="2">
        <v>6.4</v>
      </c>
      <c r="D22" s="2">
        <v>4.3899999999999997</v>
      </c>
      <c r="E22" s="2">
        <f t="shared" si="0"/>
        <v>6.5</v>
      </c>
      <c r="F22" s="2">
        <f t="shared" si="1"/>
        <v>6.39</v>
      </c>
      <c r="G22" s="2">
        <f t="shared" si="2"/>
        <v>5.05</v>
      </c>
      <c r="J22" s="15"/>
      <c r="K22" s="6"/>
    </row>
    <row r="23" spans="1:11" x14ac:dyDescent="0.25">
      <c r="A23" s="5">
        <v>42674</v>
      </c>
      <c r="B23" s="1">
        <v>6.25</v>
      </c>
      <c r="C23" s="1">
        <v>6.22</v>
      </c>
      <c r="D23" s="1">
        <v>4.2</v>
      </c>
      <c r="E23" s="1">
        <f t="shared" si="0"/>
        <v>6.5</v>
      </c>
      <c r="F23" s="1">
        <f t="shared" si="1"/>
        <v>6.4</v>
      </c>
      <c r="G23" s="1">
        <f t="shared" si="2"/>
        <v>4.3899999999999997</v>
      </c>
      <c r="J23" s="15"/>
      <c r="K23" s="6"/>
    </row>
    <row r="24" spans="1:11" x14ac:dyDescent="0.25">
      <c r="A24" s="5">
        <v>42704</v>
      </c>
      <c r="B24" s="2">
        <v>6.25</v>
      </c>
      <c r="C24" s="2">
        <v>6.03</v>
      </c>
      <c r="D24" s="2">
        <v>3.63</v>
      </c>
      <c r="E24" s="2">
        <f t="shared" si="0"/>
        <v>6.25</v>
      </c>
      <c r="F24" s="2">
        <f t="shared" si="1"/>
        <v>6.22</v>
      </c>
      <c r="G24" s="2">
        <f t="shared" si="2"/>
        <v>4.2</v>
      </c>
      <c r="J24" s="15"/>
      <c r="K24" s="6"/>
    </row>
    <row r="25" spans="1:11" x14ac:dyDescent="0.25">
      <c r="A25" s="5">
        <v>42735</v>
      </c>
      <c r="B25" s="1">
        <v>6.25</v>
      </c>
      <c r="C25" s="1">
        <v>6.06</v>
      </c>
      <c r="D25" s="1">
        <v>3.41</v>
      </c>
      <c r="E25" s="1">
        <f t="shared" si="0"/>
        <v>6.25</v>
      </c>
      <c r="F25" s="1">
        <f t="shared" si="1"/>
        <v>6.03</v>
      </c>
      <c r="G25" s="1">
        <f t="shared" si="2"/>
        <v>3.63</v>
      </c>
      <c r="J25" s="15"/>
      <c r="K25" s="6"/>
    </row>
    <row r="26" spans="1:11" x14ac:dyDescent="0.25">
      <c r="A26" s="5">
        <v>42766</v>
      </c>
      <c r="B26" s="2">
        <v>6.25</v>
      </c>
      <c r="C26" s="2">
        <v>6</v>
      </c>
      <c r="D26" s="2">
        <v>3.17</v>
      </c>
      <c r="E26" s="2">
        <f t="shared" si="0"/>
        <v>6.25</v>
      </c>
      <c r="F26" s="2">
        <f t="shared" si="1"/>
        <v>6.06</v>
      </c>
      <c r="G26" s="2">
        <f t="shared" si="2"/>
        <v>3.41</v>
      </c>
      <c r="J26" s="15"/>
      <c r="K26" s="6"/>
    </row>
    <row r="27" spans="1:11" x14ac:dyDescent="0.25">
      <c r="A27" s="5">
        <v>42794</v>
      </c>
      <c r="B27" s="1">
        <v>6.25</v>
      </c>
      <c r="C27" s="1">
        <v>6</v>
      </c>
      <c r="D27" s="1">
        <v>3.65</v>
      </c>
      <c r="E27" s="1">
        <f t="shared" si="0"/>
        <v>6.25</v>
      </c>
      <c r="F27" s="1">
        <f t="shared" si="1"/>
        <v>6</v>
      </c>
      <c r="G27" s="1">
        <f t="shared" si="2"/>
        <v>3.17</v>
      </c>
      <c r="J27" s="15"/>
      <c r="K27" s="6"/>
    </row>
    <row r="28" spans="1:11" x14ac:dyDescent="0.25">
      <c r="A28" s="5">
        <v>42825</v>
      </c>
      <c r="B28" s="2">
        <v>6.25</v>
      </c>
      <c r="C28" s="2">
        <v>5.97</v>
      </c>
      <c r="D28" s="2">
        <v>3.89</v>
      </c>
      <c r="E28" s="2">
        <f t="shared" si="0"/>
        <v>6.25</v>
      </c>
      <c r="F28" s="2">
        <f t="shared" si="1"/>
        <v>6</v>
      </c>
      <c r="G28" s="2">
        <f t="shared" si="2"/>
        <v>3.65</v>
      </c>
      <c r="J28" s="15"/>
      <c r="K28" s="6"/>
    </row>
    <row r="29" spans="1:11" x14ac:dyDescent="0.25">
      <c r="A29" s="5">
        <v>42855</v>
      </c>
      <c r="B29" s="1">
        <v>6.25</v>
      </c>
      <c r="C29" s="1">
        <v>5.93</v>
      </c>
      <c r="D29" s="1">
        <v>2.99</v>
      </c>
      <c r="E29" s="1">
        <f t="shared" si="0"/>
        <v>6.25</v>
      </c>
      <c r="F29" s="1">
        <f t="shared" si="1"/>
        <v>5.97</v>
      </c>
      <c r="G29" s="1">
        <f t="shared" si="2"/>
        <v>3.89</v>
      </c>
      <c r="J29" s="15"/>
      <c r="K29" s="6"/>
    </row>
    <row r="30" spans="1:11" x14ac:dyDescent="0.25">
      <c r="A30" s="5">
        <v>42886</v>
      </c>
      <c r="B30" s="2">
        <v>6.25</v>
      </c>
      <c r="C30" s="2">
        <v>6.03</v>
      </c>
      <c r="D30" s="2">
        <v>2.1800000000000002</v>
      </c>
      <c r="E30" s="2">
        <f t="shared" si="0"/>
        <v>6.25</v>
      </c>
      <c r="F30" s="2">
        <f t="shared" si="1"/>
        <v>5.93</v>
      </c>
      <c r="G30" s="2">
        <f t="shared" si="2"/>
        <v>2.99</v>
      </c>
      <c r="J30" s="15"/>
      <c r="K30" s="6"/>
    </row>
    <row r="31" spans="1:11" x14ac:dyDescent="0.25">
      <c r="A31" s="5">
        <v>42916</v>
      </c>
      <c r="B31" s="1">
        <v>6.25</v>
      </c>
      <c r="C31" s="1">
        <v>6.05</v>
      </c>
      <c r="D31" s="1">
        <v>1.46</v>
      </c>
      <c r="E31" s="1">
        <f t="shared" si="0"/>
        <v>6.25</v>
      </c>
      <c r="F31" s="1">
        <f t="shared" si="1"/>
        <v>6.03</v>
      </c>
      <c r="G31" s="1">
        <f t="shared" si="2"/>
        <v>2.1800000000000002</v>
      </c>
      <c r="J31" s="15"/>
      <c r="K31" s="6"/>
    </row>
    <row r="32" spans="1:11" x14ac:dyDescent="0.25">
      <c r="A32" s="5">
        <v>42947</v>
      </c>
      <c r="B32" s="2">
        <v>6.25</v>
      </c>
      <c r="C32" s="2">
        <v>6.04</v>
      </c>
      <c r="D32" s="2">
        <v>2.36</v>
      </c>
      <c r="E32" s="2">
        <f t="shared" si="0"/>
        <v>6.25</v>
      </c>
      <c r="F32" s="2">
        <f t="shared" si="1"/>
        <v>6.05</v>
      </c>
      <c r="G32" s="2">
        <f t="shared" si="2"/>
        <v>1.46</v>
      </c>
      <c r="J32" s="15"/>
      <c r="K32" s="6"/>
    </row>
    <row r="33" spans="1:11" x14ac:dyDescent="0.25">
      <c r="A33" s="5">
        <v>42978</v>
      </c>
      <c r="B33" s="1">
        <v>6</v>
      </c>
      <c r="C33" s="1">
        <v>5.87</v>
      </c>
      <c r="D33" s="1">
        <v>3.28</v>
      </c>
      <c r="E33" s="1">
        <f t="shared" si="0"/>
        <v>6.25</v>
      </c>
      <c r="F33" s="1">
        <f t="shared" si="1"/>
        <v>6.04</v>
      </c>
      <c r="G33" s="1">
        <f t="shared" si="2"/>
        <v>2.36</v>
      </c>
      <c r="J33" s="15"/>
      <c r="K33" s="6"/>
    </row>
    <row r="34" spans="1:11" x14ac:dyDescent="0.25">
      <c r="A34" s="5">
        <v>43008</v>
      </c>
      <c r="B34" s="2">
        <v>6</v>
      </c>
      <c r="C34" s="2">
        <v>5.88</v>
      </c>
      <c r="D34" s="2">
        <v>3.28</v>
      </c>
      <c r="E34" s="2">
        <f t="shared" si="0"/>
        <v>6</v>
      </c>
      <c r="F34" s="2">
        <f t="shared" si="1"/>
        <v>5.87</v>
      </c>
      <c r="G34" s="2">
        <f t="shared" si="2"/>
        <v>3.28</v>
      </c>
      <c r="J34" s="15"/>
      <c r="K34" s="6"/>
    </row>
    <row r="35" spans="1:11" x14ac:dyDescent="0.25">
      <c r="A35" s="5">
        <v>43039</v>
      </c>
      <c r="B35" s="1">
        <v>6</v>
      </c>
      <c r="C35" s="1">
        <v>5.86</v>
      </c>
      <c r="D35" s="1">
        <v>3.58</v>
      </c>
      <c r="E35" s="1">
        <f t="shared" si="0"/>
        <v>6</v>
      </c>
      <c r="F35" s="1">
        <f t="shared" si="1"/>
        <v>5.88</v>
      </c>
      <c r="G35" s="1">
        <f t="shared" si="2"/>
        <v>3.28</v>
      </c>
      <c r="J35" s="15"/>
      <c r="K35" s="6"/>
    </row>
    <row r="36" spans="1:11" x14ac:dyDescent="0.25">
      <c r="A36" s="5">
        <v>43069</v>
      </c>
      <c r="B36" s="2">
        <v>6</v>
      </c>
      <c r="C36" s="2">
        <v>5.85</v>
      </c>
      <c r="D36" s="2">
        <v>4.88</v>
      </c>
      <c r="E36" s="2">
        <f t="shared" si="0"/>
        <v>6</v>
      </c>
      <c r="F36" s="2">
        <f t="shared" si="1"/>
        <v>5.86</v>
      </c>
      <c r="G36" s="2">
        <f t="shared" si="2"/>
        <v>3.58</v>
      </c>
      <c r="J36" s="15"/>
      <c r="K36" s="6"/>
    </row>
    <row r="37" spans="1:11" x14ac:dyDescent="0.25">
      <c r="A37" s="5">
        <v>43100</v>
      </c>
      <c r="B37" s="1">
        <v>6</v>
      </c>
      <c r="C37" s="1">
        <v>5.88</v>
      </c>
      <c r="D37" s="1">
        <v>5.21</v>
      </c>
      <c r="E37" s="1">
        <f t="shared" si="0"/>
        <v>6</v>
      </c>
      <c r="F37" s="1">
        <f t="shared" si="1"/>
        <v>5.85</v>
      </c>
      <c r="G37" s="1">
        <f t="shared" si="2"/>
        <v>4.88</v>
      </c>
      <c r="J37" s="15"/>
      <c r="K37" s="6"/>
    </row>
    <row r="38" spans="1:11" x14ac:dyDescent="0.25">
      <c r="A38" s="5">
        <v>43131</v>
      </c>
      <c r="B38" s="2">
        <v>6</v>
      </c>
      <c r="C38" s="2">
        <v>5.88</v>
      </c>
      <c r="D38" s="2">
        <v>5.07</v>
      </c>
      <c r="E38" s="2">
        <f t="shared" si="0"/>
        <v>6</v>
      </c>
      <c r="F38" s="2">
        <f t="shared" si="1"/>
        <v>5.88</v>
      </c>
      <c r="G38" s="2">
        <f t="shared" si="2"/>
        <v>5.21</v>
      </c>
      <c r="J38" s="15"/>
      <c r="K38" s="6"/>
    </row>
    <row r="39" spans="1:11" x14ac:dyDescent="0.25">
      <c r="A39" s="5">
        <v>43159</v>
      </c>
      <c r="B39" s="1">
        <v>6</v>
      </c>
      <c r="C39" s="1">
        <v>5.91</v>
      </c>
      <c r="D39" s="1">
        <v>4.4400000000000004</v>
      </c>
      <c r="E39" s="1">
        <f t="shared" si="0"/>
        <v>6</v>
      </c>
      <c r="F39" s="1">
        <f t="shared" si="1"/>
        <v>5.88</v>
      </c>
      <c r="G39" s="1">
        <f t="shared" si="2"/>
        <v>5.07</v>
      </c>
      <c r="J39" s="15"/>
      <c r="K39" s="6"/>
    </row>
    <row r="40" spans="1:11" x14ac:dyDescent="0.25">
      <c r="A40" s="5">
        <v>43190</v>
      </c>
      <c r="B40" s="2">
        <v>6</v>
      </c>
      <c r="C40" s="2">
        <v>5.93</v>
      </c>
      <c r="D40" s="2">
        <v>4.28</v>
      </c>
      <c r="E40" s="2">
        <f t="shared" si="0"/>
        <v>6</v>
      </c>
      <c r="F40" s="2">
        <f t="shared" si="1"/>
        <v>5.91</v>
      </c>
      <c r="G40" s="2">
        <f t="shared" si="2"/>
        <v>4.4400000000000004</v>
      </c>
      <c r="J40" s="15"/>
      <c r="K40" s="6"/>
    </row>
    <row r="41" spans="1:11" x14ac:dyDescent="0.25">
      <c r="A41" s="5">
        <v>43220</v>
      </c>
      <c r="B41" s="1">
        <v>6</v>
      </c>
      <c r="C41" s="1">
        <v>5.88</v>
      </c>
      <c r="D41" s="1">
        <v>4.58</v>
      </c>
      <c r="E41" s="1">
        <f t="shared" si="0"/>
        <v>6</v>
      </c>
      <c r="F41" s="1">
        <f t="shared" si="1"/>
        <v>5.93</v>
      </c>
      <c r="G41" s="1">
        <f t="shared" si="2"/>
        <v>4.28</v>
      </c>
      <c r="J41" s="15"/>
      <c r="K41" s="6"/>
    </row>
    <row r="42" spans="1:11" x14ac:dyDescent="0.25">
      <c r="A42" s="5">
        <v>43251</v>
      </c>
      <c r="B42" s="2">
        <v>6</v>
      </c>
      <c r="C42" s="2">
        <v>5.88</v>
      </c>
      <c r="D42" s="2">
        <v>4.87</v>
      </c>
      <c r="E42" s="2">
        <f t="shared" si="0"/>
        <v>6</v>
      </c>
      <c r="F42" s="2">
        <f t="shared" si="1"/>
        <v>5.88</v>
      </c>
      <c r="G42" s="2">
        <f t="shared" si="2"/>
        <v>4.58</v>
      </c>
      <c r="J42" s="15"/>
      <c r="K42" s="6"/>
    </row>
    <row r="43" spans="1:11" x14ac:dyDescent="0.25">
      <c r="A43" s="5">
        <v>43281</v>
      </c>
      <c r="B43" s="1">
        <v>6.25</v>
      </c>
      <c r="C43" s="1">
        <v>6.07</v>
      </c>
      <c r="D43" s="1">
        <v>4.92</v>
      </c>
      <c r="E43" s="1">
        <f t="shared" si="0"/>
        <v>6</v>
      </c>
      <c r="F43" s="1">
        <f t="shared" si="1"/>
        <v>5.88</v>
      </c>
      <c r="G43" s="1">
        <f t="shared" si="2"/>
        <v>4.87</v>
      </c>
      <c r="J43" s="15"/>
      <c r="K43" s="6"/>
    </row>
    <row r="44" spans="1:11" x14ac:dyDescent="0.25">
      <c r="A44" s="5">
        <v>43312</v>
      </c>
      <c r="B44" s="2">
        <v>6.25</v>
      </c>
      <c r="C44" s="2">
        <v>6.15</v>
      </c>
      <c r="D44" s="2">
        <v>4.17</v>
      </c>
      <c r="E44" s="2">
        <f t="shared" si="0"/>
        <v>6.25</v>
      </c>
      <c r="F44" s="2">
        <f t="shared" si="1"/>
        <v>6.07</v>
      </c>
      <c r="G44" s="2">
        <f t="shared" si="2"/>
        <v>4.92</v>
      </c>
      <c r="J44" s="15"/>
      <c r="K44" s="6"/>
    </row>
    <row r="45" spans="1:11" x14ac:dyDescent="0.25">
      <c r="A45" s="5">
        <v>43343</v>
      </c>
      <c r="B45" s="1">
        <v>6.5</v>
      </c>
      <c r="C45" s="1">
        <v>6.32</v>
      </c>
      <c r="D45" s="1">
        <v>3.69</v>
      </c>
      <c r="E45" s="1">
        <f t="shared" si="0"/>
        <v>6.25</v>
      </c>
      <c r="F45" s="1">
        <f t="shared" si="1"/>
        <v>6.15</v>
      </c>
      <c r="G45" s="1">
        <f t="shared" si="2"/>
        <v>4.17</v>
      </c>
      <c r="J45" s="15"/>
      <c r="K45" s="6"/>
    </row>
    <row r="46" spans="1:11" x14ac:dyDescent="0.25">
      <c r="A46" s="5">
        <v>43373</v>
      </c>
      <c r="B46" s="2">
        <v>6.5</v>
      </c>
      <c r="C46" s="2">
        <v>6.44</v>
      </c>
      <c r="D46" s="2">
        <v>3.7</v>
      </c>
      <c r="E46" s="2">
        <f t="shared" si="0"/>
        <v>6.5</v>
      </c>
      <c r="F46" s="2">
        <f t="shared" si="1"/>
        <v>6.32</v>
      </c>
      <c r="G46" s="2">
        <f t="shared" si="2"/>
        <v>3.69</v>
      </c>
      <c r="J46" s="15"/>
      <c r="K46" s="6"/>
    </row>
    <row r="47" spans="1:11" x14ac:dyDescent="0.25">
      <c r="A47" s="5">
        <v>43404</v>
      </c>
      <c r="B47" s="1">
        <v>6.5</v>
      </c>
      <c r="C47" s="1">
        <v>6.42</v>
      </c>
      <c r="D47" s="1">
        <v>3.38</v>
      </c>
      <c r="E47" s="1">
        <f t="shared" si="0"/>
        <v>6.5</v>
      </c>
      <c r="F47" s="1">
        <f t="shared" si="1"/>
        <v>6.44</v>
      </c>
      <c r="G47" s="1">
        <f t="shared" si="2"/>
        <v>3.7</v>
      </c>
      <c r="J47" s="15"/>
      <c r="K47" s="6"/>
    </row>
    <row r="48" spans="1:11" x14ac:dyDescent="0.25">
      <c r="A48" s="5">
        <v>43434</v>
      </c>
      <c r="B48" s="2">
        <v>6.5</v>
      </c>
      <c r="C48" s="2">
        <v>6.37</v>
      </c>
      <c r="D48" s="2">
        <v>2.33</v>
      </c>
      <c r="E48" s="2">
        <f t="shared" si="0"/>
        <v>6.5</v>
      </c>
      <c r="F48" s="2">
        <f t="shared" si="1"/>
        <v>6.42</v>
      </c>
      <c r="G48" s="2">
        <f t="shared" si="2"/>
        <v>3.38</v>
      </c>
      <c r="J48" s="15"/>
      <c r="K48" s="6"/>
    </row>
    <row r="49" spans="1:11" x14ac:dyDescent="0.25">
      <c r="A49" s="5">
        <v>43465</v>
      </c>
      <c r="B49" s="1">
        <v>6.5</v>
      </c>
      <c r="C49" s="1">
        <v>6.43</v>
      </c>
      <c r="D49" s="1">
        <v>2.11</v>
      </c>
      <c r="E49" s="1">
        <f t="shared" si="0"/>
        <v>6.5</v>
      </c>
      <c r="F49" s="1">
        <f t="shared" si="1"/>
        <v>6.37</v>
      </c>
      <c r="G49" s="1">
        <f t="shared" si="2"/>
        <v>2.33</v>
      </c>
      <c r="J49" s="15"/>
      <c r="K49" s="6"/>
    </row>
    <row r="50" spans="1:11" x14ac:dyDescent="0.25">
      <c r="A50" s="5">
        <v>43496</v>
      </c>
      <c r="B50" s="2">
        <v>6.5</v>
      </c>
      <c r="C50" s="2">
        <v>6.36</v>
      </c>
      <c r="D50" s="2">
        <v>1.97</v>
      </c>
      <c r="E50" s="2">
        <f t="shared" si="0"/>
        <v>6.5</v>
      </c>
      <c r="F50" s="2">
        <f t="shared" si="1"/>
        <v>6.43</v>
      </c>
      <c r="G50" s="2">
        <f t="shared" si="2"/>
        <v>2.11</v>
      </c>
      <c r="J50" s="15"/>
      <c r="K50" s="6"/>
    </row>
    <row r="51" spans="1:11" x14ac:dyDescent="0.25">
      <c r="A51" s="5">
        <v>43524</v>
      </c>
      <c r="B51" s="1">
        <v>6.25</v>
      </c>
      <c r="C51" s="1">
        <v>6.27</v>
      </c>
      <c r="D51" s="1">
        <v>2.57</v>
      </c>
      <c r="E51" s="1">
        <f t="shared" si="0"/>
        <v>6.5</v>
      </c>
      <c r="F51" s="1">
        <f t="shared" si="1"/>
        <v>6.36</v>
      </c>
      <c r="G51" s="1">
        <f t="shared" si="2"/>
        <v>1.97</v>
      </c>
      <c r="J51" s="15"/>
      <c r="K51" s="6"/>
    </row>
    <row r="52" spans="1:11" x14ac:dyDescent="0.25">
      <c r="A52" s="5">
        <v>43555</v>
      </c>
      <c r="B52" s="2">
        <v>6.25</v>
      </c>
      <c r="C52" s="2">
        <v>6.31</v>
      </c>
      <c r="D52" s="2">
        <v>2.86</v>
      </c>
      <c r="E52" s="2">
        <f t="shared" si="0"/>
        <v>6.25</v>
      </c>
      <c r="F52" s="2">
        <f t="shared" si="1"/>
        <v>6.27</v>
      </c>
      <c r="G52" s="2">
        <f t="shared" si="2"/>
        <v>2.57</v>
      </c>
      <c r="J52" s="15"/>
      <c r="K52" s="6"/>
    </row>
    <row r="53" spans="1:11" x14ac:dyDescent="0.25">
      <c r="A53" s="5">
        <v>43585</v>
      </c>
      <c r="B53" s="1">
        <v>6</v>
      </c>
      <c r="C53" s="1">
        <v>6.08</v>
      </c>
      <c r="D53" s="1">
        <v>2.99</v>
      </c>
      <c r="E53" s="1">
        <f t="shared" si="0"/>
        <v>6.25</v>
      </c>
      <c r="F53" s="1">
        <f t="shared" si="1"/>
        <v>6.31</v>
      </c>
      <c r="G53" s="1">
        <f t="shared" si="2"/>
        <v>2.86</v>
      </c>
      <c r="J53" s="15"/>
      <c r="K53" s="6"/>
    </row>
    <row r="54" spans="1:11" x14ac:dyDescent="0.25">
      <c r="A54" s="5">
        <v>43616</v>
      </c>
      <c r="B54" s="2">
        <v>6</v>
      </c>
      <c r="C54" s="2">
        <v>5.92</v>
      </c>
      <c r="D54" s="2">
        <v>3.05</v>
      </c>
      <c r="E54" s="2">
        <f t="shared" si="0"/>
        <v>6</v>
      </c>
      <c r="F54" s="2">
        <f t="shared" si="1"/>
        <v>6.08</v>
      </c>
      <c r="G54" s="2">
        <f t="shared" si="2"/>
        <v>2.99</v>
      </c>
      <c r="J54" s="15"/>
      <c r="K54" s="6"/>
    </row>
    <row r="55" spans="1:11" x14ac:dyDescent="0.25">
      <c r="A55" s="5">
        <v>43646</v>
      </c>
      <c r="B55" s="1">
        <v>5.75</v>
      </c>
      <c r="C55" s="1">
        <v>5.76</v>
      </c>
      <c r="D55" s="1">
        <v>3.18</v>
      </c>
      <c r="E55" s="1">
        <f t="shared" si="0"/>
        <v>6</v>
      </c>
      <c r="F55" s="1">
        <f t="shared" si="1"/>
        <v>5.92</v>
      </c>
      <c r="G55" s="1">
        <f t="shared" si="2"/>
        <v>3.05</v>
      </c>
      <c r="J55" s="15"/>
      <c r="K55" s="6"/>
    </row>
    <row r="56" spans="1:11" x14ac:dyDescent="0.25">
      <c r="A56" s="5">
        <v>43677</v>
      </c>
      <c r="B56" s="2">
        <v>5.75</v>
      </c>
      <c r="C56" s="2">
        <v>5.61</v>
      </c>
      <c r="D56" s="2">
        <v>3.15</v>
      </c>
      <c r="E56" s="2">
        <f t="shared" si="0"/>
        <v>5.75</v>
      </c>
      <c r="F56" s="2">
        <f t="shared" si="1"/>
        <v>5.76</v>
      </c>
      <c r="G56" s="2">
        <f t="shared" si="2"/>
        <v>3.18</v>
      </c>
      <c r="J56" s="15"/>
      <c r="K56" s="6"/>
    </row>
    <row r="57" spans="1:11" x14ac:dyDescent="0.25">
      <c r="A57" s="5">
        <v>43708</v>
      </c>
      <c r="B57" s="1">
        <v>5.4</v>
      </c>
      <c r="C57" s="1">
        <v>5.38</v>
      </c>
      <c r="D57" s="1">
        <v>3.28</v>
      </c>
      <c r="E57" s="1">
        <f t="shared" si="0"/>
        <v>5.75</v>
      </c>
      <c r="F57" s="1">
        <f t="shared" si="1"/>
        <v>5.61</v>
      </c>
      <c r="G57" s="1">
        <f t="shared" si="2"/>
        <v>3.15</v>
      </c>
      <c r="J57" s="15"/>
      <c r="K57" s="6"/>
    </row>
    <row r="58" spans="1:11" x14ac:dyDescent="0.25">
      <c r="A58" s="5">
        <v>43738</v>
      </c>
      <c r="B58" s="2">
        <v>5.4</v>
      </c>
      <c r="C58" s="2">
        <v>5.32</v>
      </c>
      <c r="D58" s="2">
        <v>3.99</v>
      </c>
      <c r="E58" s="2">
        <f t="shared" si="0"/>
        <v>5.4</v>
      </c>
      <c r="F58" s="2">
        <f t="shared" si="1"/>
        <v>5.38</v>
      </c>
      <c r="G58" s="2">
        <f t="shared" si="2"/>
        <v>3.28</v>
      </c>
      <c r="J58" s="15"/>
      <c r="K58" s="6"/>
    </row>
    <row r="59" spans="1:11" x14ac:dyDescent="0.25">
      <c r="A59" s="5">
        <v>43769</v>
      </c>
      <c r="B59" s="1">
        <v>5.15</v>
      </c>
      <c r="C59" s="1">
        <v>5.07</v>
      </c>
      <c r="D59" s="1">
        <v>4.62</v>
      </c>
      <c r="E59" s="1">
        <f t="shared" si="0"/>
        <v>5.4</v>
      </c>
      <c r="F59" s="1">
        <f t="shared" si="1"/>
        <v>5.32</v>
      </c>
      <c r="G59" s="1">
        <f t="shared" si="2"/>
        <v>3.99</v>
      </c>
      <c r="J59" s="15"/>
      <c r="K59" s="6"/>
    </row>
    <row r="60" spans="1:11" x14ac:dyDescent="0.25">
      <c r="A60" s="5">
        <v>43799</v>
      </c>
      <c r="B60" s="2">
        <v>5.15</v>
      </c>
      <c r="C60" s="2">
        <v>5</v>
      </c>
      <c r="D60" s="2">
        <v>5.54</v>
      </c>
      <c r="E60" s="2">
        <f t="shared" si="0"/>
        <v>5.15</v>
      </c>
      <c r="F60" s="2">
        <f t="shared" si="1"/>
        <v>5.07</v>
      </c>
      <c r="G60" s="2">
        <f t="shared" si="2"/>
        <v>4.62</v>
      </c>
      <c r="J60" s="15"/>
      <c r="K60" s="6"/>
    </row>
    <row r="61" spans="1:11" x14ac:dyDescent="0.25">
      <c r="A61" s="5">
        <v>43830</v>
      </c>
      <c r="B61" s="1">
        <v>5.15</v>
      </c>
      <c r="C61" s="1">
        <v>5.0199999999999996</v>
      </c>
      <c r="D61" s="1">
        <v>7.35</v>
      </c>
      <c r="E61" s="1">
        <f t="shared" si="0"/>
        <v>5.15</v>
      </c>
      <c r="F61" s="1">
        <f t="shared" si="1"/>
        <v>5</v>
      </c>
      <c r="G61" s="1">
        <f t="shared" si="2"/>
        <v>5.54</v>
      </c>
      <c r="J61" s="15"/>
      <c r="K61" s="6"/>
    </row>
    <row r="62" spans="1:11" x14ac:dyDescent="0.25">
      <c r="A62" s="5">
        <v>43861</v>
      </c>
      <c r="B62" s="2">
        <v>5.15</v>
      </c>
      <c r="C62" s="2">
        <v>4.9400000000000004</v>
      </c>
      <c r="D62" s="2">
        <v>7.59</v>
      </c>
      <c r="E62" s="2">
        <f t="shared" si="0"/>
        <v>5.15</v>
      </c>
      <c r="F62" s="2">
        <f t="shared" si="1"/>
        <v>5.0199999999999996</v>
      </c>
      <c r="G62" s="2">
        <f t="shared" si="2"/>
        <v>7.35</v>
      </c>
      <c r="J62" s="15"/>
      <c r="K62" s="6"/>
    </row>
    <row r="63" spans="1:11" x14ac:dyDescent="0.25">
      <c r="A63" s="5">
        <v>43890</v>
      </c>
      <c r="B63" s="1">
        <v>5.15</v>
      </c>
      <c r="C63" s="1">
        <v>4.96</v>
      </c>
      <c r="D63" s="1">
        <v>6.58</v>
      </c>
      <c r="E63" s="1">
        <f t="shared" si="0"/>
        <v>5.15</v>
      </c>
      <c r="F63" s="1">
        <f t="shared" si="1"/>
        <v>4.9400000000000004</v>
      </c>
      <c r="G63" s="1">
        <f t="shared" si="2"/>
        <v>7.59</v>
      </c>
      <c r="J63" s="15"/>
      <c r="K63" s="6"/>
    </row>
    <row r="64" spans="1:11" x14ac:dyDescent="0.25">
      <c r="A64" s="5">
        <v>43921</v>
      </c>
      <c r="B64" s="2">
        <v>4.4000000000000004</v>
      </c>
      <c r="C64" s="2">
        <v>4.92</v>
      </c>
      <c r="D64" s="2">
        <v>5.84</v>
      </c>
      <c r="E64" s="2">
        <f t="shared" si="0"/>
        <v>5.15</v>
      </c>
      <c r="F64" s="2">
        <f t="shared" si="1"/>
        <v>4.96</v>
      </c>
      <c r="G64" s="2">
        <f t="shared" si="2"/>
        <v>6.58</v>
      </c>
      <c r="J64" s="15"/>
      <c r="K64" s="6"/>
    </row>
    <row r="65" spans="1:11" x14ac:dyDescent="0.25">
      <c r="A65" s="5">
        <v>43951</v>
      </c>
      <c r="B65" s="1">
        <v>4.4000000000000004</v>
      </c>
      <c r="C65" s="1">
        <v>4.08</v>
      </c>
      <c r="D65" s="1">
        <v>5.84</v>
      </c>
      <c r="E65" s="1">
        <f t="shared" si="0"/>
        <v>4.4000000000000004</v>
      </c>
      <c r="F65" s="1">
        <f t="shared" si="1"/>
        <v>4.92</v>
      </c>
      <c r="G65" s="1">
        <f t="shared" si="2"/>
        <v>5.84</v>
      </c>
      <c r="J65" s="15"/>
      <c r="K65" s="6"/>
    </row>
    <row r="66" spans="1:11" x14ac:dyDescent="0.25">
      <c r="A66" s="5">
        <v>43982</v>
      </c>
      <c r="B66" s="2">
        <v>4</v>
      </c>
      <c r="C66" s="2">
        <v>3.7</v>
      </c>
      <c r="D66" s="2">
        <v>5.84</v>
      </c>
      <c r="E66" s="2">
        <f t="shared" si="0"/>
        <v>4.4000000000000004</v>
      </c>
      <c r="F66" s="2">
        <f t="shared" si="1"/>
        <v>4.08</v>
      </c>
      <c r="G66" s="2">
        <f t="shared" si="2"/>
        <v>5.84</v>
      </c>
      <c r="J66" s="15"/>
      <c r="K66" s="6"/>
    </row>
    <row r="67" spans="1:11" x14ac:dyDescent="0.25">
      <c r="A67" s="5">
        <v>44012</v>
      </c>
      <c r="B67" s="1">
        <v>4</v>
      </c>
      <c r="C67" s="1">
        <v>3.51</v>
      </c>
      <c r="D67" s="1">
        <v>6.23</v>
      </c>
      <c r="E67" s="1">
        <f t="shared" si="0"/>
        <v>4</v>
      </c>
      <c r="F67" s="1">
        <f t="shared" si="1"/>
        <v>3.7</v>
      </c>
      <c r="G67" s="1">
        <f t="shared" si="2"/>
        <v>5.84</v>
      </c>
      <c r="J67" s="15"/>
      <c r="K67" s="6"/>
    </row>
    <row r="68" spans="1:11" x14ac:dyDescent="0.25">
      <c r="A68" s="5">
        <v>44043</v>
      </c>
      <c r="B68" s="2">
        <v>4</v>
      </c>
      <c r="C68" s="2">
        <v>3.42</v>
      </c>
      <c r="D68" s="2">
        <v>6.73</v>
      </c>
      <c r="E68" s="2">
        <f t="shared" ref="E68:E131" si="3">B67</f>
        <v>4</v>
      </c>
      <c r="F68" s="2">
        <f t="shared" ref="F68:F131" si="4">C67</f>
        <v>3.51</v>
      </c>
      <c r="G68" s="2">
        <f t="shared" ref="G68:G131" si="5">D67</f>
        <v>6.23</v>
      </c>
      <c r="J68" s="15"/>
      <c r="K68" s="6"/>
    </row>
    <row r="69" spans="1:11" x14ac:dyDescent="0.25">
      <c r="A69" s="5">
        <v>44074</v>
      </c>
      <c r="B69" s="1">
        <v>4</v>
      </c>
      <c r="C69" s="1">
        <v>3.42</v>
      </c>
      <c r="D69" s="1">
        <v>6.69</v>
      </c>
      <c r="E69" s="1">
        <f t="shared" si="3"/>
        <v>4</v>
      </c>
      <c r="F69" s="1">
        <f t="shared" si="4"/>
        <v>3.42</v>
      </c>
      <c r="G69" s="1">
        <f t="shared" si="5"/>
        <v>6.73</v>
      </c>
      <c r="J69" s="15"/>
      <c r="K69" s="6"/>
    </row>
    <row r="70" spans="1:11" x14ac:dyDescent="0.25">
      <c r="A70" s="5">
        <v>44104</v>
      </c>
      <c r="B70" s="2">
        <v>4</v>
      </c>
      <c r="C70" s="2">
        <v>3.38</v>
      </c>
      <c r="D70" s="2">
        <v>7.27</v>
      </c>
      <c r="E70" s="2">
        <f t="shared" si="3"/>
        <v>4</v>
      </c>
      <c r="F70" s="2">
        <f t="shared" si="4"/>
        <v>3.42</v>
      </c>
      <c r="G70" s="2">
        <f t="shared" si="5"/>
        <v>6.69</v>
      </c>
      <c r="J70" s="15"/>
      <c r="K70" s="6"/>
    </row>
    <row r="71" spans="1:11" x14ac:dyDescent="0.25">
      <c r="A71" s="5">
        <v>44135</v>
      </c>
      <c r="B71" s="1">
        <v>4</v>
      </c>
      <c r="C71" s="1">
        <v>3.28</v>
      </c>
      <c r="D71" s="1">
        <v>7.61</v>
      </c>
      <c r="E71" s="1">
        <f t="shared" si="3"/>
        <v>4</v>
      </c>
      <c r="F71" s="1">
        <f t="shared" si="4"/>
        <v>3.38</v>
      </c>
      <c r="G71" s="1">
        <f t="shared" si="5"/>
        <v>7.27</v>
      </c>
      <c r="J71" s="15"/>
      <c r="K71" s="6"/>
    </row>
    <row r="72" spans="1:11" x14ac:dyDescent="0.25">
      <c r="A72" s="5">
        <v>44165</v>
      </c>
      <c r="B72" s="2">
        <v>4</v>
      </c>
      <c r="C72" s="2">
        <v>3.15</v>
      </c>
      <c r="D72" s="2">
        <v>6.93</v>
      </c>
      <c r="E72" s="2">
        <f t="shared" si="3"/>
        <v>4</v>
      </c>
      <c r="F72" s="2">
        <f t="shared" si="4"/>
        <v>3.28</v>
      </c>
      <c r="G72" s="2">
        <f t="shared" si="5"/>
        <v>7.61</v>
      </c>
      <c r="J72" s="15"/>
      <c r="K72" s="6"/>
    </row>
    <row r="73" spans="1:11" x14ac:dyDescent="0.25">
      <c r="A73" s="5">
        <v>44196</v>
      </c>
      <c r="B73" s="1">
        <v>4</v>
      </c>
      <c r="C73" s="1">
        <v>3.15</v>
      </c>
      <c r="D73" s="1">
        <v>4.59</v>
      </c>
      <c r="E73" s="1">
        <f t="shared" si="3"/>
        <v>4</v>
      </c>
      <c r="F73" s="1">
        <f t="shared" si="4"/>
        <v>3.15</v>
      </c>
      <c r="G73" s="1">
        <f t="shared" si="5"/>
        <v>6.93</v>
      </c>
      <c r="J73" s="15"/>
      <c r="K73" s="6"/>
    </row>
    <row r="74" spans="1:11" x14ac:dyDescent="0.25">
      <c r="A74" s="5">
        <v>44227</v>
      </c>
      <c r="B74" s="2">
        <v>4</v>
      </c>
      <c r="C74" s="2">
        <v>3.14</v>
      </c>
      <c r="D74" s="2">
        <v>4.0599999999999996</v>
      </c>
      <c r="E74" s="2">
        <f t="shared" si="3"/>
        <v>4</v>
      </c>
      <c r="F74" s="2">
        <f t="shared" si="4"/>
        <v>3.15</v>
      </c>
      <c r="G74" s="2">
        <f t="shared" si="5"/>
        <v>4.59</v>
      </c>
      <c r="J74" s="15"/>
      <c r="K74" s="6"/>
    </row>
    <row r="75" spans="1:11" x14ac:dyDescent="0.25">
      <c r="A75" s="5">
        <v>44255</v>
      </c>
      <c r="B75" s="1">
        <v>4</v>
      </c>
      <c r="C75" s="1">
        <v>3.24</v>
      </c>
      <c r="D75" s="1">
        <v>5.03</v>
      </c>
      <c r="E75" s="1">
        <f t="shared" si="3"/>
        <v>4</v>
      </c>
      <c r="F75" s="1">
        <f t="shared" si="4"/>
        <v>3.14</v>
      </c>
      <c r="G75" s="1">
        <f t="shared" si="5"/>
        <v>4.0599999999999996</v>
      </c>
      <c r="J75" s="15"/>
      <c r="K75" s="6"/>
    </row>
    <row r="76" spans="1:11" x14ac:dyDescent="0.25">
      <c r="A76" s="5">
        <v>44286</v>
      </c>
      <c r="B76" s="2">
        <v>4</v>
      </c>
      <c r="C76" s="2">
        <v>3.2</v>
      </c>
      <c r="D76" s="2">
        <v>5.52</v>
      </c>
      <c r="E76" s="2">
        <f t="shared" si="3"/>
        <v>4</v>
      </c>
      <c r="F76" s="2">
        <f t="shared" si="4"/>
        <v>3.24</v>
      </c>
      <c r="G76" s="2">
        <f t="shared" si="5"/>
        <v>5.03</v>
      </c>
      <c r="J76" s="15"/>
      <c r="K76" s="6"/>
    </row>
    <row r="77" spans="1:11" x14ac:dyDescent="0.25">
      <c r="A77" s="5">
        <v>44316</v>
      </c>
      <c r="B77" s="1">
        <v>4</v>
      </c>
      <c r="C77" s="1">
        <v>3.17</v>
      </c>
      <c r="D77" s="1">
        <v>4.2300000000000004</v>
      </c>
      <c r="E77" s="1">
        <f t="shared" si="3"/>
        <v>4</v>
      </c>
      <c r="F77" s="1">
        <f t="shared" si="4"/>
        <v>3.2</v>
      </c>
      <c r="G77" s="1">
        <f t="shared" si="5"/>
        <v>5.52</v>
      </c>
      <c r="J77" s="15"/>
      <c r="K77" s="6"/>
    </row>
    <row r="78" spans="1:11" x14ac:dyDescent="0.25">
      <c r="A78" s="5">
        <v>44347</v>
      </c>
      <c r="B78" s="2">
        <v>4</v>
      </c>
      <c r="C78" s="2">
        <v>3.17</v>
      </c>
      <c r="D78" s="2">
        <v>6.3</v>
      </c>
      <c r="E78" s="2">
        <f t="shared" si="3"/>
        <v>4</v>
      </c>
      <c r="F78" s="2">
        <f t="shared" si="4"/>
        <v>3.17</v>
      </c>
      <c r="G78" s="2">
        <f t="shared" si="5"/>
        <v>4.2300000000000004</v>
      </c>
      <c r="J78" s="15"/>
      <c r="K78" s="6"/>
    </row>
    <row r="79" spans="1:11" x14ac:dyDescent="0.25">
      <c r="A79" s="5">
        <v>44377</v>
      </c>
      <c r="B79" s="1">
        <v>4</v>
      </c>
      <c r="C79" s="1">
        <v>3.12</v>
      </c>
      <c r="D79" s="1">
        <v>6.26</v>
      </c>
      <c r="E79" s="1">
        <f t="shared" si="3"/>
        <v>4</v>
      </c>
      <c r="F79" s="1">
        <f t="shared" si="4"/>
        <v>3.17</v>
      </c>
      <c r="G79" s="1">
        <f t="shared" si="5"/>
        <v>6.3</v>
      </c>
      <c r="J79" s="15"/>
      <c r="K79" s="6"/>
    </row>
    <row r="80" spans="1:11" x14ac:dyDescent="0.25">
      <c r="A80" s="5">
        <v>44408</v>
      </c>
      <c r="B80" s="2">
        <v>4</v>
      </c>
      <c r="C80" s="2">
        <v>3.15</v>
      </c>
      <c r="D80" s="2">
        <v>5.59</v>
      </c>
      <c r="E80" s="2">
        <f t="shared" si="3"/>
        <v>4</v>
      </c>
      <c r="F80" s="2">
        <f t="shared" si="4"/>
        <v>3.12</v>
      </c>
      <c r="G80" s="2">
        <f t="shared" si="5"/>
        <v>6.26</v>
      </c>
      <c r="J80" s="15"/>
      <c r="K80" s="6"/>
    </row>
    <row r="81" spans="1:11" x14ac:dyDescent="0.25">
      <c r="A81" s="5">
        <v>44439</v>
      </c>
      <c r="B81" s="1">
        <v>4</v>
      </c>
      <c r="C81" s="1">
        <v>3.17</v>
      </c>
      <c r="D81" s="1">
        <v>5.3</v>
      </c>
      <c r="E81" s="1">
        <f t="shared" si="3"/>
        <v>4</v>
      </c>
      <c r="F81" s="1">
        <f t="shared" si="4"/>
        <v>3.15</v>
      </c>
      <c r="G81" s="1">
        <f t="shared" si="5"/>
        <v>5.59</v>
      </c>
      <c r="J81" s="15"/>
      <c r="K81" s="6"/>
    </row>
    <row r="82" spans="1:11" x14ac:dyDescent="0.25">
      <c r="A82" s="5">
        <v>44469</v>
      </c>
      <c r="B82" s="2">
        <v>4</v>
      </c>
      <c r="C82" s="2">
        <v>3.16</v>
      </c>
      <c r="D82" s="2">
        <v>4.3499999999999996</v>
      </c>
      <c r="E82" s="2">
        <f t="shared" si="3"/>
        <v>4</v>
      </c>
      <c r="F82" s="2">
        <f t="shared" si="4"/>
        <v>3.17</v>
      </c>
      <c r="G82" s="2">
        <f t="shared" si="5"/>
        <v>5.3</v>
      </c>
      <c r="J82" s="15"/>
      <c r="K82" s="6"/>
    </row>
    <row r="83" spans="1:11" x14ac:dyDescent="0.25">
      <c r="A83" s="5">
        <v>44500</v>
      </c>
      <c r="B83" s="1">
        <v>4</v>
      </c>
      <c r="C83" s="1">
        <v>3.24</v>
      </c>
      <c r="D83" s="1">
        <v>4.4800000000000004</v>
      </c>
      <c r="E83" s="1">
        <f t="shared" si="3"/>
        <v>4</v>
      </c>
      <c r="F83" s="1">
        <f t="shared" si="4"/>
        <v>3.16</v>
      </c>
      <c r="G83" s="1">
        <f t="shared" si="5"/>
        <v>4.3499999999999996</v>
      </c>
      <c r="J83" s="15"/>
      <c r="K83" s="6"/>
    </row>
    <row r="84" spans="1:11" x14ac:dyDescent="0.25">
      <c r="A84" s="5">
        <v>44530</v>
      </c>
      <c r="B84" s="2">
        <v>4</v>
      </c>
      <c r="C84" s="2">
        <v>3.29</v>
      </c>
      <c r="D84" s="2">
        <v>4.91</v>
      </c>
      <c r="E84" s="2">
        <f t="shared" si="3"/>
        <v>4</v>
      </c>
      <c r="F84" s="2">
        <f t="shared" si="4"/>
        <v>3.24</v>
      </c>
      <c r="G84" s="2">
        <f t="shared" si="5"/>
        <v>4.4800000000000004</v>
      </c>
      <c r="J84" s="15"/>
      <c r="K84" s="6"/>
    </row>
    <row r="85" spans="1:11" x14ac:dyDescent="0.25">
      <c r="A85" s="5">
        <v>44561</v>
      </c>
      <c r="B85" s="1">
        <v>4</v>
      </c>
      <c r="C85" s="1">
        <v>3.33</v>
      </c>
      <c r="D85" s="1">
        <v>5.66</v>
      </c>
      <c r="E85" s="1">
        <f t="shared" si="3"/>
        <v>4</v>
      </c>
      <c r="F85" s="1">
        <f t="shared" si="4"/>
        <v>3.29</v>
      </c>
      <c r="G85" s="1">
        <f t="shared" si="5"/>
        <v>4.91</v>
      </c>
      <c r="J85" s="15"/>
      <c r="K85" s="6"/>
    </row>
    <row r="86" spans="1:11" x14ac:dyDescent="0.25">
      <c r="A86" s="5">
        <v>44592</v>
      </c>
      <c r="B86" s="2">
        <v>4</v>
      </c>
      <c r="C86" s="2">
        <v>3.43</v>
      </c>
      <c r="D86" s="2">
        <v>6.01</v>
      </c>
      <c r="E86" s="2">
        <f t="shared" si="3"/>
        <v>4</v>
      </c>
      <c r="F86" s="2">
        <f t="shared" si="4"/>
        <v>3.33</v>
      </c>
      <c r="G86" s="2">
        <f t="shared" si="5"/>
        <v>5.66</v>
      </c>
      <c r="J86" s="15"/>
      <c r="K86" s="6"/>
    </row>
    <row r="87" spans="1:11" x14ac:dyDescent="0.25">
      <c r="A87" s="5">
        <v>44620</v>
      </c>
      <c r="B87" s="1">
        <v>4</v>
      </c>
      <c r="C87" s="1">
        <v>3.25</v>
      </c>
      <c r="D87" s="1">
        <v>6.07</v>
      </c>
      <c r="E87" s="1">
        <f t="shared" si="3"/>
        <v>4</v>
      </c>
      <c r="F87" s="1">
        <f t="shared" si="4"/>
        <v>3.43</v>
      </c>
      <c r="G87" s="1">
        <f t="shared" si="5"/>
        <v>6.01</v>
      </c>
      <c r="J87" s="15"/>
      <c r="K87" s="6"/>
    </row>
    <row r="88" spans="1:11" x14ac:dyDescent="0.25">
      <c r="A88" s="5">
        <v>44651</v>
      </c>
      <c r="B88" s="2">
        <v>4</v>
      </c>
      <c r="C88" s="2">
        <v>3.3</v>
      </c>
      <c r="D88" s="2">
        <v>6.95</v>
      </c>
      <c r="E88" s="2">
        <f t="shared" si="3"/>
        <v>4</v>
      </c>
      <c r="F88" s="2">
        <f t="shared" si="4"/>
        <v>3.25</v>
      </c>
      <c r="G88" s="2">
        <f t="shared" si="5"/>
        <v>6.07</v>
      </c>
      <c r="J88" s="15"/>
      <c r="K88" s="6"/>
    </row>
    <row r="89" spans="1:11" x14ac:dyDescent="0.25">
      <c r="A89" s="5">
        <v>44681</v>
      </c>
      <c r="B89" s="1">
        <v>4</v>
      </c>
      <c r="C89" s="1">
        <v>3.47</v>
      </c>
      <c r="D89" s="1">
        <v>7.79</v>
      </c>
      <c r="E89" s="1">
        <f t="shared" si="3"/>
        <v>4</v>
      </c>
      <c r="F89" s="1">
        <f t="shared" si="4"/>
        <v>3.3</v>
      </c>
      <c r="G89" s="1">
        <f t="shared" si="5"/>
        <v>6.95</v>
      </c>
      <c r="J89" s="15"/>
      <c r="K89" s="6"/>
    </row>
    <row r="90" spans="1:11" x14ac:dyDescent="0.25">
      <c r="A90" s="5">
        <v>44712</v>
      </c>
      <c r="B90" s="2">
        <v>4.4000000000000004</v>
      </c>
      <c r="C90" s="2">
        <v>4</v>
      </c>
      <c r="D90" s="2">
        <v>7.04</v>
      </c>
      <c r="E90" s="2">
        <f t="shared" si="3"/>
        <v>4</v>
      </c>
      <c r="F90" s="2">
        <f t="shared" si="4"/>
        <v>3.47</v>
      </c>
      <c r="G90" s="2">
        <f t="shared" si="5"/>
        <v>7.79</v>
      </c>
      <c r="J90" s="15"/>
      <c r="K90" s="6"/>
    </row>
    <row r="91" spans="1:11" x14ac:dyDescent="0.25">
      <c r="A91" s="5">
        <v>44742</v>
      </c>
      <c r="B91" s="1">
        <v>4.9000000000000004</v>
      </c>
      <c r="C91" s="1">
        <v>4.45</v>
      </c>
      <c r="D91" s="1">
        <v>7.01</v>
      </c>
      <c r="E91" s="1">
        <f t="shared" si="3"/>
        <v>4.4000000000000004</v>
      </c>
      <c r="F91" s="1">
        <f t="shared" si="4"/>
        <v>4</v>
      </c>
      <c r="G91" s="1">
        <f t="shared" si="5"/>
        <v>7.04</v>
      </c>
      <c r="J91" s="15"/>
      <c r="K91" s="6"/>
    </row>
    <row r="92" spans="1:11" x14ac:dyDescent="0.25">
      <c r="A92" s="5">
        <v>44773</v>
      </c>
      <c r="B92" s="2">
        <v>4.9000000000000004</v>
      </c>
      <c r="C92" s="2">
        <v>4.7300000000000004</v>
      </c>
      <c r="D92" s="2">
        <v>6.71</v>
      </c>
      <c r="E92" s="2">
        <f t="shared" si="3"/>
        <v>4.9000000000000004</v>
      </c>
      <c r="F92" s="2">
        <f t="shared" si="4"/>
        <v>4.45</v>
      </c>
      <c r="G92" s="2">
        <f t="shared" si="5"/>
        <v>7.01</v>
      </c>
      <c r="J92" s="15"/>
      <c r="K92" s="6"/>
    </row>
    <row r="93" spans="1:11" x14ac:dyDescent="0.25">
      <c r="A93" s="5">
        <v>44804</v>
      </c>
      <c r="B93" s="1">
        <v>5.4</v>
      </c>
      <c r="C93" s="1">
        <v>4.96</v>
      </c>
      <c r="D93" s="1">
        <v>7</v>
      </c>
      <c r="E93" s="1">
        <f t="shared" si="3"/>
        <v>4.9000000000000004</v>
      </c>
      <c r="F93" s="1">
        <f t="shared" si="4"/>
        <v>4.7300000000000004</v>
      </c>
      <c r="G93" s="1">
        <f t="shared" si="5"/>
        <v>6.71</v>
      </c>
      <c r="J93" s="15"/>
      <c r="K93" s="6"/>
    </row>
    <row r="94" spans="1:11" x14ac:dyDescent="0.25">
      <c r="A94" s="5">
        <v>44834</v>
      </c>
      <c r="B94" s="2">
        <v>5.9</v>
      </c>
      <c r="C94" s="2">
        <v>5.24</v>
      </c>
      <c r="D94" s="2">
        <v>7.41</v>
      </c>
      <c r="E94" s="2">
        <f t="shared" si="3"/>
        <v>5.4</v>
      </c>
      <c r="F94" s="2">
        <f t="shared" si="4"/>
        <v>4.96</v>
      </c>
      <c r="G94" s="2">
        <f t="shared" si="5"/>
        <v>7</v>
      </c>
      <c r="J94" s="15"/>
      <c r="K94" s="6"/>
    </row>
    <row r="95" spans="1:11" x14ac:dyDescent="0.25">
      <c r="A95" s="5">
        <v>44865</v>
      </c>
      <c r="B95" s="1">
        <v>5.9</v>
      </c>
      <c r="C95" s="1">
        <v>5.98</v>
      </c>
      <c r="D95" s="1">
        <v>6.77</v>
      </c>
      <c r="E95" s="1">
        <f t="shared" si="3"/>
        <v>5.9</v>
      </c>
      <c r="F95" s="1">
        <f t="shared" si="4"/>
        <v>5.24</v>
      </c>
      <c r="G95" s="1">
        <f t="shared" si="5"/>
        <v>7.41</v>
      </c>
      <c r="J95" s="15"/>
      <c r="K95" s="6"/>
    </row>
    <row r="96" spans="1:11" x14ac:dyDescent="0.25">
      <c r="A96" s="5">
        <v>44895</v>
      </c>
      <c r="B96" s="2">
        <v>5.9</v>
      </c>
      <c r="C96" s="2">
        <v>5.93</v>
      </c>
      <c r="D96" s="2">
        <v>5.88</v>
      </c>
      <c r="E96" s="2">
        <f t="shared" si="3"/>
        <v>5.9</v>
      </c>
      <c r="F96" s="2">
        <f t="shared" si="4"/>
        <v>5.98</v>
      </c>
      <c r="G96" s="2">
        <f t="shared" si="5"/>
        <v>6.77</v>
      </c>
      <c r="J96" s="15"/>
      <c r="K96" s="6"/>
    </row>
    <row r="97" spans="1:11" x14ac:dyDescent="0.25">
      <c r="A97" s="5">
        <v>44926</v>
      </c>
      <c r="B97" s="1">
        <v>6.25</v>
      </c>
      <c r="C97" s="1">
        <v>6.15</v>
      </c>
      <c r="D97" s="1">
        <v>5.72</v>
      </c>
      <c r="E97" s="1">
        <f t="shared" si="3"/>
        <v>5.9</v>
      </c>
      <c r="F97" s="1">
        <f t="shared" si="4"/>
        <v>5.93</v>
      </c>
      <c r="G97" s="1">
        <f t="shared" si="5"/>
        <v>5.88</v>
      </c>
      <c r="J97" s="15"/>
      <c r="K97" s="6"/>
    </row>
    <row r="98" spans="1:11" x14ac:dyDescent="0.25">
      <c r="A98" s="5">
        <v>44957</v>
      </c>
      <c r="B98" s="2">
        <v>6.25</v>
      </c>
      <c r="C98" s="2">
        <v>6.18</v>
      </c>
      <c r="D98" s="2">
        <v>6.52</v>
      </c>
      <c r="E98" s="2">
        <f t="shared" si="3"/>
        <v>6.25</v>
      </c>
      <c r="F98" s="2">
        <f t="shared" si="4"/>
        <v>6.15</v>
      </c>
      <c r="G98" s="2">
        <f t="shared" si="5"/>
        <v>5.72</v>
      </c>
      <c r="J98" s="15"/>
      <c r="K98" s="6"/>
    </row>
    <row r="99" spans="1:11" x14ac:dyDescent="0.25">
      <c r="A99" s="5">
        <v>44985</v>
      </c>
      <c r="B99" s="1">
        <v>6.5</v>
      </c>
      <c r="C99" s="1">
        <v>6.39</v>
      </c>
      <c r="D99" s="1">
        <v>6.44</v>
      </c>
      <c r="E99" s="1">
        <f t="shared" si="3"/>
        <v>6.25</v>
      </c>
      <c r="F99" s="1">
        <f t="shared" si="4"/>
        <v>6.18</v>
      </c>
      <c r="G99" s="1">
        <f t="shared" si="5"/>
        <v>6.52</v>
      </c>
      <c r="J99" s="15"/>
      <c r="K99" s="6"/>
    </row>
    <row r="100" spans="1:11" x14ac:dyDescent="0.25">
      <c r="A100" s="5">
        <v>45016</v>
      </c>
      <c r="B100" s="2">
        <v>6.5</v>
      </c>
      <c r="C100" s="2">
        <v>6.45</v>
      </c>
      <c r="D100" s="2">
        <v>5.66</v>
      </c>
      <c r="E100" s="2">
        <f t="shared" si="3"/>
        <v>6.5</v>
      </c>
      <c r="F100" s="2">
        <f t="shared" si="4"/>
        <v>6.39</v>
      </c>
      <c r="G100" s="2">
        <f t="shared" si="5"/>
        <v>6.44</v>
      </c>
      <c r="J100" s="15"/>
      <c r="K100" s="6"/>
    </row>
    <row r="101" spans="1:11" x14ac:dyDescent="0.25">
      <c r="A101" s="5">
        <v>45046</v>
      </c>
      <c r="B101" s="1">
        <v>6.5</v>
      </c>
      <c r="C101" s="1">
        <v>6.46</v>
      </c>
      <c r="D101" s="1">
        <v>4.7</v>
      </c>
      <c r="E101" s="1">
        <f t="shared" si="3"/>
        <v>6.5</v>
      </c>
      <c r="F101" s="1">
        <f t="shared" si="4"/>
        <v>6.45</v>
      </c>
      <c r="G101" s="1">
        <f t="shared" si="5"/>
        <v>5.66</v>
      </c>
      <c r="J101" s="15"/>
      <c r="K101" s="6"/>
    </row>
    <row r="102" spans="1:11" x14ac:dyDescent="0.25">
      <c r="A102" s="5">
        <v>45077</v>
      </c>
      <c r="B102" s="2">
        <v>6.5</v>
      </c>
      <c r="C102" s="2">
        <v>6.54</v>
      </c>
      <c r="D102" s="2">
        <v>4.3099999999999996</v>
      </c>
      <c r="E102" s="2">
        <f t="shared" si="3"/>
        <v>6.5</v>
      </c>
      <c r="F102" s="2">
        <f t="shared" si="4"/>
        <v>6.46</v>
      </c>
      <c r="G102" s="2">
        <f t="shared" si="5"/>
        <v>4.7</v>
      </c>
      <c r="J102" s="15"/>
      <c r="K102" s="6"/>
    </row>
    <row r="103" spans="1:11" x14ac:dyDescent="0.25">
      <c r="A103" s="5">
        <v>45107</v>
      </c>
      <c r="B103" s="1">
        <v>6.5</v>
      </c>
      <c r="C103" s="1">
        <v>6.51</v>
      </c>
      <c r="D103" s="1">
        <v>4.87</v>
      </c>
      <c r="E103" s="1">
        <f t="shared" si="3"/>
        <v>6.5</v>
      </c>
      <c r="F103" s="1">
        <f t="shared" si="4"/>
        <v>6.54</v>
      </c>
      <c r="G103" s="1">
        <f t="shared" si="5"/>
        <v>4.3099999999999996</v>
      </c>
      <c r="J103" s="15"/>
      <c r="K103" s="6"/>
    </row>
    <row r="104" spans="1:11" x14ac:dyDescent="0.25">
      <c r="A104" s="5">
        <v>45138</v>
      </c>
      <c r="B104" s="2">
        <v>6.5</v>
      </c>
      <c r="C104" s="2">
        <v>6.44</v>
      </c>
      <c r="D104" s="2">
        <v>7.44</v>
      </c>
      <c r="E104" s="2">
        <f t="shared" si="3"/>
        <v>6.5</v>
      </c>
      <c r="F104" s="2">
        <f t="shared" si="4"/>
        <v>6.51</v>
      </c>
      <c r="G104" s="2">
        <f t="shared" si="5"/>
        <v>4.87</v>
      </c>
      <c r="J104" s="15"/>
      <c r="K104" s="6"/>
    </row>
    <row r="105" spans="1:11" x14ac:dyDescent="0.25">
      <c r="A105" s="5">
        <v>45169</v>
      </c>
      <c r="B105" s="1">
        <v>6.5</v>
      </c>
      <c r="C105" s="1">
        <v>6.55</v>
      </c>
      <c r="D105" s="1">
        <v>6.83</v>
      </c>
      <c r="E105" s="1">
        <f t="shared" si="3"/>
        <v>6.5</v>
      </c>
      <c r="F105" s="1">
        <f t="shared" si="4"/>
        <v>6.44</v>
      </c>
      <c r="G105" s="1">
        <f t="shared" si="5"/>
        <v>7.44</v>
      </c>
      <c r="J105" s="15"/>
      <c r="K105" s="6"/>
    </row>
    <row r="106" spans="1:11" x14ac:dyDescent="0.25">
      <c r="A106" s="5">
        <v>45199</v>
      </c>
      <c r="B106" s="2">
        <v>6.5</v>
      </c>
      <c r="C106" s="2">
        <v>6.59</v>
      </c>
      <c r="D106" s="2">
        <v>5.0199999999999996</v>
      </c>
      <c r="E106" s="2">
        <f t="shared" si="3"/>
        <v>6.5</v>
      </c>
      <c r="F106" s="2">
        <f t="shared" si="4"/>
        <v>6.55</v>
      </c>
      <c r="G106" s="2">
        <f t="shared" si="5"/>
        <v>6.83</v>
      </c>
      <c r="J106" s="15"/>
      <c r="K106" s="6"/>
    </row>
    <row r="107" spans="1:11" x14ac:dyDescent="0.25">
      <c r="A107" s="5">
        <v>45230</v>
      </c>
      <c r="B107" s="1">
        <v>6.5</v>
      </c>
      <c r="C107" s="1">
        <v>6.68</v>
      </c>
      <c r="D107" s="1">
        <v>4.87</v>
      </c>
      <c r="E107" s="1">
        <f t="shared" si="3"/>
        <v>6.5</v>
      </c>
      <c r="F107" s="1">
        <f t="shared" si="4"/>
        <v>6.59</v>
      </c>
      <c r="G107" s="1">
        <f t="shared" si="5"/>
        <v>5.0199999999999996</v>
      </c>
      <c r="J107" s="15"/>
      <c r="K107" s="6"/>
    </row>
    <row r="108" spans="1:11" x14ac:dyDescent="0.25">
      <c r="A108" s="5">
        <v>45260</v>
      </c>
      <c r="B108" s="2">
        <v>6.5</v>
      </c>
      <c r="C108" s="2">
        <v>6.75</v>
      </c>
      <c r="D108" s="2">
        <v>5.55</v>
      </c>
      <c r="E108" s="2">
        <f t="shared" si="3"/>
        <v>6.5</v>
      </c>
      <c r="F108" s="2">
        <f t="shared" si="4"/>
        <v>6.68</v>
      </c>
      <c r="G108" s="2">
        <f t="shared" si="5"/>
        <v>4.87</v>
      </c>
      <c r="J108" s="15"/>
      <c r="K108" s="6"/>
    </row>
    <row r="109" spans="1:11" x14ac:dyDescent="0.25">
      <c r="A109" s="5">
        <v>45291</v>
      </c>
      <c r="B109" s="1">
        <v>6.5</v>
      </c>
      <c r="C109" s="1">
        <v>6.7</v>
      </c>
      <c r="D109" s="1">
        <v>5.69</v>
      </c>
      <c r="E109" s="1">
        <f t="shared" si="3"/>
        <v>6.5</v>
      </c>
      <c r="F109" s="1">
        <f t="shared" si="4"/>
        <v>6.75</v>
      </c>
      <c r="G109" s="1">
        <f t="shared" si="5"/>
        <v>5.55</v>
      </c>
      <c r="J109" s="15"/>
      <c r="K109" s="6"/>
    </row>
    <row r="110" spans="1:11" x14ac:dyDescent="0.25">
      <c r="A110" s="5">
        <v>45322</v>
      </c>
      <c r="B110" s="2">
        <v>6.5</v>
      </c>
      <c r="C110" s="2">
        <v>6.68</v>
      </c>
      <c r="D110" s="2">
        <v>5.0999999999999996</v>
      </c>
      <c r="E110" s="2">
        <f t="shared" si="3"/>
        <v>6.5</v>
      </c>
      <c r="F110" s="2">
        <f t="shared" si="4"/>
        <v>6.7</v>
      </c>
      <c r="G110" s="2">
        <f t="shared" si="5"/>
        <v>5.69</v>
      </c>
      <c r="J110" s="15"/>
      <c r="K110" s="6"/>
    </row>
    <row r="111" spans="1:11" x14ac:dyDescent="0.25">
      <c r="A111" s="5">
        <v>45351</v>
      </c>
      <c r="B111" s="1">
        <v>6.5</v>
      </c>
      <c r="C111" s="1">
        <v>6.59</v>
      </c>
      <c r="D111" s="1">
        <v>5.09</v>
      </c>
      <c r="E111" s="1">
        <f t="shared" si="3"/>
        <v>6.5</v>
      </c>
      <c r="F111" s="1">
        <f t="shared" si="4"/>
        <v>6.68</v>
      </c>
      <c r="G111" s="1">
        <f t="shared" si="5"/>
        <v>5.0999999999999996</v>
      </c>
      <c r="J111" s="15"/>
      <c r="K111" s="6"/>
    </row>
    <row r="112" spans="1:11" x14ac:dyDescent="0.25">
      <c r="A112" s="5">
        <v>45382</v>
      </c>
      <c r="B112" s="2">
        <v>6.5</v>
      </c>
      <c r="C112" s="2">
        <v>6.55</v>
      </c>
      <c r="D112" s="2">
        <v>4.8499999999999996</v>
      </c>
      <c r="E112" s="2">
        <f t="shared" si="3"/>
        <v>6.5</v>
      </c>
      <c r="F112" s="2">
        <f t="shared" si="4"/>
        <v>6.59</v>
      </c>
      <c r="G112" s="2">
        <f t="shared" si="5"/>
        <v>5.09</v>
      </c>
      <c r="J112" s="15"/>
      <c r="K112" s="6"/>
    </row>
    <row r="113" spans="1:11" x14ac:dyDescent="0.25">
      <c r="A113" s="5">
        <v>45412</v>
      </c>
      <c r="B113" s="1">
        <v>6.5</v>
      </c>
      <c r="C113" s="1">
        <v>6.51</v>
      </c>
      <c r="D113" s="1">
        <v>4.83</v>
      </c>
      <c r="E113" s="1">
        <f t="shared" si="3"/>
        <v>6.5</v>
      </c>
      <c r="F113" s="1">
        <f t="shared" si="4"/>
        <v>6.55</v>
      </c>
      <c r="G113" s="1">
        <f t="shared" si="5"/>
        <v>4.8499999999999996</v>
      </c>
      <c r="J113" s="15"/>
      <c r="K113" s="6"/>
    </row>
    <row r="114" spans="1:11" x14ac:dyDescent="0.25">
      <c r="A114" s="5">
        <v>45443</v>
      </c>
      <c r="B114" s="2">
        <v>6.5</v>
      </c>
      <c r="C114" s="2">
        <v>6.56</v>
      </c>
      <c r="D114" s="2">
        <v>4.8</v>
      </c>
      <c r="E114" s="2">
        <f t="shared" si="3"/>
        <v>6.5</v>
      </c>
      <c r="F114" s="2">
        <f t="shared" si="4"/>
        <v>6.51</v>
      </c>
      <c r="G114" s="2">
        <f t="shared" si="5"/>
        <v>4.83</v>
      </c>
      <c r="J114" s="15"/>
      <c r="K114" s="6"/>
    </row>
    <row r="115" spans="1:11" x14ac:dyDescent="0.25">
      <c r="A115" s="5">
        <v>45473</v>
      </c>
      <c r="B115" s="1">
        <v>6.5</v>
      </c>
      <c r="C115" s="1">
        <v>6.53</v>
      </c>
      <c r="D115" s="1">
        <v>5.08</v>
      </c>
      <c r="E115" s="1">
        <f t="shared" si="3"/>
        <v>6.5</v>
      </c>
      <c r="F115" s="1">
        <f t="shared" si="4"/>
        <v>6.56</v>
      </c>
      <c r="G115" s="1">
        <f t="shared" si="5"/>
        <v>4.8</v>
      </c>
      <c r="J115" s="15"/>
      <c r="K115" s="6"/>
    </row>
    <row r="116" spans="1:11" x14ac:dyDescent="0.25">
      <c r="A116" s="5">
        <v>45504</v>
      </c>
      <c r="B116" s="2">
        <v>6.5</v>
      </c>
      <c r="C116" s="2">
        <v>6.48</v>
      </c>
      <c r="D116" s="2">
        <v>3.6</v>
      </c>
      <c r="E116" s="2">
        <f t="shared" si="3"/>
        <v>6.5</v>
      </c>
      <c r="F116" s="2">
        <f t="shared" si="4"/>
        <v>6.53</v>
      </c>
      <c r="G116" s="2">
        <f t="shared" si="5"/>
        <v>5.08</v>
      </c>
      <c r="J116" s="15"/>
      <c r="K116" s="6"/>
    </row>
    <row r="117" spans="1:11" x14ac:dyDescent="0.25">
      <c r="A117" s="5">
        <v>45535</v>
      </c>
      <c r="B117" s="1">
        <v>6.5</v>
      </c>
      <c r="C117" s="1">
        <v>6.47</v>
      </c>
      <c r="D117" s="1">
        <v>3.65</v>
      </c>
      <c r="E117" s="1">
        <f t="shared" si="3"/>
        <v>6.5</v>
      </c>
      <c r="F117" s="1">
        <f t="shared" si="4"/>
        <v>6.48</v>
      </c>
      <c r="G117" s="1">
        <f t="shared" si="5"/>
        <v>3.6</v>
      </c>
      <c r="J117" s="15"/>
      <c r="K117" s="6"/>
    </row>
    <row r="118" spans="1:11" x14ac:dyDescent="0.25">
      <c r="A118" s="5">
        <v>45565</v>
      </c>
      <c r="B118" s="2">
        <v>6.5</v>
      </c>
      <c r="C118" s="2">
        <v>6.53</v>
      </c>
      <c r="D118" s="2">
        <v>5.49</v>
      </c>
      <c r="E118" s="2">
        <f t="shared" si="3"/>
        <v>6.5</v>
      </c>
      <c r="F118" s="2">
        <f t="shared" si="4"/>
        <v>6.47</v>
      </c>
      <c r="G118" s="2">
        <f t="shared" si="5"/>
        <v>3.65</v>
      </c>
      <c r="J118" s="15"/>
      <c r="K118" s="6"/>
    </row>
    <row r="119" spans="1:11" x14ac:dyDescent="0.25">
      <c r="A119" s="5">
        <v>45596</v>
      </c>
      <c r="B119" s="1">
        <v>6.5</v>
      </c>
      <c r="C119" s="1">
        <v>6.46</v>
      </c>
      <c r="D119" s="1">
        <v>6.21</v>
      </c>
      <c r="E119" s="1">
        <f t="shared" si="3"/>
        <v>6.5</v>
      </c>
      <c r="F119" s="1">
        <f t="shared" si="4"/>
        <v>6.53</v>
      </c>
      <c r="G119" s="1">
        <f t="shared" si="5"/>
        <v>5.49</v>
      </c>
      <c r="J119" s="15"/>
      <c r="K119" s="6"/>
    </row>
    <row r="120" spans="1:11" x14ac:dyDescent="0.25">
      <c r="A120" s="5">
        <v>45626</v>
      </c>
      <c r="B120" s="2">
        <v>6.5</v>
      </c>
      <c r="C120" s="2">
        <v>6.49</v>
      </c>
      <c r="D120" s="2">
        <v>5.48</v>
      </c>
      <c r="E120" s="2">
        <f t="shared" si="3"/>
        <v>6.5</v>
      </c>
      <c r="F120" s="2">
        <f t="shared" si="4"/>
        <v>6.46</v>
      </c>
      <c r="G120" s="2">
        <f t="shared" si="5"/>
        <v>6.21</v>
      </c>
      <c r="J120" s="15"/>
      <c r="K120" s="6"/>
    </row>
    <row r="121" spans="1:11" x14ac:dyDescent="0.25">
      <c r="A121" s="5">
        <v>45657</v>
      </c>
      <c r="B121" s="1">
        <v>6.5</v>
      </c>
      <c r="C121" s="1">
        <v>6.61</v>
      </c>
      <c r="D121" s="1">
        <v>5.22</v>
      </c>
      <c r="E121" s="1">
        <f t="shared" si="3"/>
        <v>6.5</v>
      </c>
      <c r="F121" s="1">
        <f t="shared" si="4"/>
        <v>6.49</v>
      </c>
      <c r="G121" s="1">
        <f t="shared" si="5"/>
        <v>5.48</v>
      </c>
      <c r="J121" s="15"/>
      <c r="K121" s="6"/>
    </row>
    <row r="122" spans="1:11" x14ac:dyDescent="0.25">
      <c r="A122" s="5">
        <v>45688</v>
      </c>
      <c r="B122" s="2">
        <v>6.5</v>
      </c>
      <c r="C122" s="2">
        <v>6.57</v>
      </c>
      <c r="D122" s="2">
        <v>4.26</v>
      </c>
      <c r="E122" s="2">
        <f t="shared" si="3"/>
        <v>6.5</v>
      </c>
      <c r="F122" s="2">
        <f t="shared" si="4"/>
        <v>6.61</v>
      </c>
      <c r="G122" s="2">
        <f t="shared" si="5"/>
        <v>5.22</v>
      </c>
      <c r="J122" s="15"/>
      <c r="K122" s="6"/>
    </row>
    <row r="123" spans="1:11" x14ac:dyDescent="0.25">
      <c r="A123" s="5">
        <v>45716</v>
      </c>
      <c r="B123" s="1">
        <v>6.25</v>
      </c>
      <c r="C123" s="1">
        <v>6.33</v>
      </c>
      <c r="D123" s="1">
        <v>3.61</v>
      </c>
      <c r="E123" s="1">
        <f t="shared" si="3"/>
        <v>6.5</v>
      </c>
      <c r="F123" s="1">
        <f t="shared" si="4"/>
        <v>6.57</v>
      </c>
      <c r="G123" s="1">
        <f t="shared" si="5"/>
        <v>4.26</v>
      </c>
      <c r="J123" s="15"/>
      <c r="K123" s="6"/>
    </row>
    <row r="124" spans="1:11" x14ac:dyDescent="0.25">
      <c r="A124" s="5">
        <v>45747</v>
      </c>
      <c r="B124" s="2">
        <v>6.25</v>
      </c>
      <c r="C124" s="2">
        <v>6.27</v>
      </c>
      <c r="D124" s="2">
        <v>3.34</v>
      </c>
      <c r="E124" s="2">
        <f t="shared" si="3"/>
        <v>6.25</v>
      </c>
      <c r="F124" s="2">
        <f t="shared" si="4"/>
        <v>6.33</v>
      </c>
      <c r="G124" s="2">
        <f t="shared" si="5"/>
        <v>3.61</v>
      </c>
      <c r="J124" s="15"/>
      <c r="K124" s="6"/>
    </row>
    <row r="125" spans="1:11" x14ac:dyDescent="0.25">
      <c r="A125" s="5">
        <v>45777</v>
      </c>
      <c r="B125" s="1">
        <v>6</v>
      </c>
      <c r="C125" s="1">
        <v>5.91</v>
      </c>
      <c r="D125" s="1">
        <v>3.16</v>
      </c>
      <c r="E125" s="1">
        <f t="shared" si="3"/>
        <v>6.25</v>
      </c>
      <c r="F125" s="1">
        <f t="shared" si="4"/>
        <v>6.27</v>
      </c>
      <c r="G125" s="1">
        <f t="shared" si="5"/>
        <v>3.34</v>
      </c>
      <c r="J125" s="15"/>
      <c r="K125" s="6"/>
    </row>
    <row r="126" spans="1:11" x14ac:dyDescent="0.25">
      <c r="A126" s="5">
        <v>45808</v>
      </c>
      <c r="B126" s="2">
        <v>6</v>
      </c>
      <c r="C126" s="2">
        <v>5.78</v>
      </c>
      <c r="D126" s="2">
        <v>2.82</v>
      </c>
      <c r="E126" s="2">
        <f t="shared" si="3"/>
        <v>6</v>
      </c>
      <c r="F126" s="2">
        <f t="shared" si="4"/>
        <v>5.91</v>
      </c>
      <c r="G126" s="2">
        <f t="shared" si="5"/>
        <v>3.16</v>
      </c>
      <c r="J126" s="15"/>
      <c r="K126" s="6"/>
    </row>
    <row r="127" spans="1:11" x14ac:dyDescent="0.25">
      <c r="A127" s="5">
        <v>45838</v>
      </c>
      <c r="B127" s="1">
        <v>5.5</v>
      </c>
      <c r="C127" s="1">
        <v>5.38</v>
      </c>
      <c r="D127" s="1">
        <v>2.1</v>
      </c>
      <c r="E127" s="1">
        <f t="shared" si="3"/>
        <v>6</v>
      </c>
      <c r="F127" s="1">
        <f t="shared" si="4"/>
        <v>5.78</v>
      </c>
      <c r="G127" s="1">
        <f t="shared" si="5"/>
        <v>2.82</v>
      </c>
      <c r="J127" s="15"/>
      <c r="K127" s="6"/>
    </row>
    <row r="128" spans="1:11" x14ac:dyDescent="0.25">
      <c r="A128" s="5">
        <v>45869</v>
      </c>
      <c r="B128" s="2">
        <v>5.5</v>
      </c>
      <c r="C128" s="2">
        <v>5.35</v>
      </c>
      <c r="D128" s="2">
        <v>1.61</v>
      </c>
      <c r="E128" s="2">
        <f t="shared" si="3"/>
        <v>5.5</v>
      </c>
      <c r="F128" s="2">
        <f t="shared" si="4"/>
        <v>5.38</v>
      </c>
      <c r="G128" s="2">
        <f t="shared" si="5"/>
        <v>2.1</v>
      </c>
      <c r="J128" s="15"/>
      <c r="K128" s="6"/>
    </row>
    <row r="129" spans="1:11" x14ac:dyDescent="0.25">
      <c r="A129" s="5">
        <v>45900</v>
      </c>
      <c r="B129" s="1">
        <v>5.5</v>
      </c>
      <c r="C129" s="1">
        <v>5.38</v>
      </c>
      <c r="D129" s="1">
        <v>2.0699999999999998</v>
      </c>
      <c r="E129" s="1">
        <f t="shared" si="3"/>
        <v>5.5</v>
      </c>
      <c r="F129" s="1">
        <f t="shared" si="4"/>
        <v>5.35</v>
      </c>
      <c r="G129" s="1">
        <f t="shared" si="5"/>
        <v>1.61</v>
      </c>
      <c r="J129" s="15"/>
      <c r="K129" s="6"/>
    </row>
    <row r="130" spans="1:11" x14ac:dyDescent="0.25">
      <c r="A130" s="5">
        <v>45930</v>
      </c>
      <c r="B130" s="2">
        <v>5.5</v>
      </c>
      <c r="C130" s="2">
        <v>5.43</v>
      </c>
      <c r="D130" s="2">
        <v>1.44</v>
      </c>
      <c r="E130" s="2">
        <f t="shared" si="3"/>
        <v>5.5</v>
      </c>
      <c r="F130" s="2">
        <f t="shared" si="4"/>
        <v>5.38</v>
      </c>
      <c r="G130" s="2">
        <f t="shared" si="5"/>
        <v>2.0699999999999998</v>
      </c>
      <c r="J130" s="15"/>
      <c r="K130" s="6"/>
    </row>
    <row r="131" spans="1:11" x14ac:dyDescent="0.25">
      <c r="A131" s="5">
        <v>45961</v>
      </c>
      <c r="B131" s="1">
        <v>5.5</v>
      </c>
      <c r="C131" s="1">
        <v>5.44</v>
      </c>
      <c r="D131" s="1">
        <v>0.25</v>
      </c>
      <c r="E131" s="1">
        <f t="shared" si="3"/>
        <v>5.5</v>
      </c>
      <c r="F131" s="1">
        <f t="shared" si="4"/>
        <v>5.43</v>
      </c>
      <c r="G131" s="1">
        <f t="shared" si="5"/>
        <v>1.44</v>
      </c>
      <c r="J131" s="15"/>
      <c r="K131" s="6"/>
    </row>
    <row r="132" spans="1:11" x14ac:dyDescent="0.25">
      <c r="A132" s="5">
        <f>EDATE(A131,1)</f>
        <v>45991</v>
      </c>
      <c r="C132" s="2">
        <f>-0.96+0.83*$B$131+0.31*$E$131</f>
        <v>5.31</v>
      </c>
    </row>
    <row r="133" spans="1:11" x14ac:dyDescent="0.25">
      <c r="A133" s="5">
        <f>EDATE(A132,1)</f>
        <v>46021</v>
      </c>
      <c r="C133" s="1">
        <f t="shared" ref="B133:C138" si="6">-0.96+0.83*$B$131+0.31*$E$131</f>
        <v>5.31</v>
      </c>
    </row>
    <row r="134" spans="1:11" x14ac:dyDescent="0.25">
      <c r="A134" s="5">
        <f t="shared" ref="A134:A138" si="7">EDATE(A133,1)</f>
        <v>46052</v>
      </c>
      <c r="C134" s="2">
        <f t="shared" si="6"/>
        <v>5.31</v>
      </c>
    </row>
    <row r="135" spans="1:11" x14ac:dyDescent="0.25">
      <c r="A135" s="5">
        <f t="shared" si="7"/>
        <v>46081</v>
      </c>
      <c r="C135" s="1">
        <f t="shared" si="6"/>
        <v>5.31</v>
      </c>
    </row>
    <row r="136" spans="1:11" x14ac:dyDescent="0.25">
      <c r="A136" s="5">
        <f t="shared" si="7"/>
        <v>46109</v>
      </c>
      <c r="C136" s="2">
        <f t="shared" si="6"/>
        <v>5.31</v>
      </c>
    </row>
    <row r="137" spans="1:11" x14ac:dyDescent="0.25">
      <c r="A137" s="5">
        <f t="shared" si="7"/>
        <v>46140</v>
      </c>
      <c r="C137" s="1">
        <f t="shared" si="6"/>
        <v>5.31</v>
      </c>
    </row>
    <row r="138" spans="1:11" x14ac:dyDescent="0.25">
      <c r="A138" s="5">
        <f t="shared" si="7"/>
        <v>46170</v>
      </c>
      <c r="C138" s="2">
        <f t="shared" si="6"/>
        <v>5.31</v>
      </c>
    </row>
  </sheetData>
  <sortState xmlns:xlrd2="http://schemas.microsoft.com/office/spreadsheetml/2017/richdata2" ref="A2:D141">
    <sortCondition ref="A2:A14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FD58-BAF7-443A-ABD5-3276F19B4862}">
  <dimension ref="X2:Y139"/>
  <sheetViews>
    <sheetView topLeftCell="A16" zoomScale="61" zoomScaleNormal="93" workbookViewId="0">
      <selection activeCell="U45" sqref="U45"/>
    </sheetView>
  </sheetViews>
  <sheetFormatPr defaultRowHeight="13.2" x14ac:dyDescent="0.25"/>
  <sheetData>
    <row r="2" spans="24:25" ht="15" x14ac:dyDescent="0.25">
      <c r="X2" s="16" t="s">
        <v>0</v>
      </c>
      <c r="Y2" t="s">
        <v>2</v>
      </c>
    </row>
    <row r="3" spans="24:25" x14ac:dyDescent="0.25">
      <c r="X3" s="5">
        <v>42035</v>
      </c>
      <c r="Y3">
        <v>7.49</v>
      </c>
    </row>
    <row r="4" spans="24:25" x14ac:dyDescent="0.25">
      <c r="X4" s="5">
        <v>42063</v>
      </c>
      <c r="Y4">
        <v>7.64</v>
      </c>
    </row>
    <row r="5" spans="24:25" x14ac:dyDescent="0.25">
      <c r="X5" s="5">
        <v>42094</v>
      </c>
      <c r="Y5">
        <v>7.55</v>
      </c>
    </row>
    <row r="6" spans="24:25" x14ac:dyDescent="0.25">
      <c r="X6" s="5">
        <v>42124</v>
      </c>
      <c r="Y6">
        <v>7.35</v>
      </c>
    </row>
    <row r="7" spans="24:25" x14ac:dyDescent="0.25">
      <c r="X7" s="5">
        <v>42155</v>
      </c>
      <c r="Y7">
        <v>7.21</v>
      </c>
    </row>
    <row r="8" spans="24:25" x14ac:dyDescent="0.25">
      <c r="X8" s="5">
        <v>42185</v>
      </c>
      <c r="Y8">
        <v>6.95</v>
      </c>
    </row>
    <row r="9" spans="24:25" x14ac:dyDescent="0.25">
      <c r="X9" s="5">
        <v>42216</v>
      </c>
      <c r="Y9">
        <v>6.89</v>
      </c>
    </row>
    <row r="10" spans="24:25" x14ac:dyDescent="0.25">
      <c r="X10" s="5">
        <v>42247</v>
      </c>
      <c r="Y10">
        <v>6.9</v>
      </c>
    </row>
    <row r="11" spans="24:25" x14ac:dyDescent="0.25">
      <c r="X11" s="5">
        <v>42277</v>
      </c>
      <c r="Y11">
        <v>7.1</v>
      </c>
    </row>
    <row r="12" spans="24:25" x14ac:dyDescent="0.25">
      <c r="X12" s="5">
        <v>42308</v>
      </c>
      <c r="Y12">
        <v>6.61</v>
      </c>
    </row>
    <row r="13" spans="24:25" x14ac:dyDescent="0.25">
      <c r="X13" s="5">
        <v>42338</v>
      </c>
      <c r="Y13">
        <v>6.73</v>
      </c>
    </row>
    <row r="14" spans="24:25" x14ac:dyDescent="0.25">
      <c r="X14" s="5">
        <v>42369</v>
      </c>
      <c r="Y14">
        <v>6.65</v>
      </c>
    </row>
    <row r="15" spans="24:25" x14ac:dyDescent="0.25">
      <c r="X15" s="5">
        <v>42400</v>
      </c>
      <c r="Y15">
        <v>6.7</v>
      </c>
    </row>
    <row r="16" spans="24:25" x14ac:dyDescent="0.25">
      <c r="X16" s="5">
        <v>42429</v>
      </c>
      <c r="Y16">
        <v>6.77</v>
      </c>
    </row>
    <row r="17" spans="24:25" x14ac:dyDescent="0.25">
      <c r="X17" s="5">
        <v>42460</v>
      </c>
      <c r="Y17">
        <v>6.94</v>
      </c>
    </row>
    <row r="18" spans="24:25" x14ac:dyDescent="0.25">
      <c r="X18" s="5">
        <v>42490</v>
      </c>
      <c r="Y18">
        <v>6.42</v>
      </c>
    </row>
    <row r="19" spans="24:25" x14ac:dyDescent="0.25">
      <c r="X19" s="5">
        <v>42521</v>
      </c>
      <c r="Y19">
        <v>6.44</v>
      </c>
    </row>
    <row r="20" spans="24:25" x14ac:dyDescent="0.25">
      <c r="X20" s="5">
        <v>42551</v>
      </c>
      <c r="Y20">
        <v>6.29</v>
      </c>
    </row>
    <row r="21" spans="24:25" x14ac:dyDescent="0.25">
      <c r="X21" s="5">
        <v>42582</v>
      </c>
      <c r="Y21">
        <v>6.29</v>
      </c>
    </row>
    <row r="22" spans="24:25" x14ac:dyDescent="0.25">
      <c r="X22" s="5">
        <v>42613</v>
      </c>
      <c r="Y22">
        <v>6.39</v>
      </c>
    </row>
    <row r="23" spans="24:25" x14ac:dyDescent="0.25">
      <c r="X23" s="5">
        <v>42643</v>
      </c>
      <c r="Y23">
        <v>6.4</v>
      </c>
    </row>
    <row r="24" spans="24:25" x14ac:dyDescent="0.25">
      <c r="X24" s="5">
        <v>42674</v>
      </c>
      <c r="Y24">
        <v>6.22</v>
      </c>
    </row>
    <row r="25" spans="24:25" x14ac:dyDescent="0.25">
      <c r="X25" s="5">
        <v>42704</v>
      </c>
      <c r="Y25">
        <v>6.03</v>
      </c>
    </row>
    <row r="26" spans="24:25" x14ac:dyDescent="0.25">
      <c r="X26" s="5">
        <v>42735</v>
      </c>
      <c r="Y26">
        <v>6.06</v>
      </c>
    </row>
    <row r="27" spans="24:25" x14ac:dyDescent="0.25">
      <c r="X27" s="5">
        <v>42766</v>
      </c>
      <c r="Y27">
        <v>6</v>
      </c>
    </row>
    <row r="28" spans="24:25" x14ac:dyDescent="0.25">
      <c r="X28" s="5">
        <v>42794</v>
      </c>
      <c r="Y28">
        <v>6</v>
      </c>
    </row>
    <row r="29" spans="24:25" x14ac:dyDescent="0.25">
      <c r="X29" s="5">
        <v>42825</v>
      </c>
      <c r="Y29">
        <v>5.97</v>
      </c>
    </row>
    <row r="30" spans="24:25" x14ac:dyDescent="0.25">
      <c r="X30" s="5">
        <v>42855</v>
      </c>
      <c r="Y30">
        <v>5.93</v>
      </c>
    </row>
    <row r="31" spans="24:25" x14ac:dyDescent="0.25">
      <c r="X31" s="5">
        <v>42886</v>
      </c>
      <c r="Y31">
        <v>6.03</v>
      </c>
    </row>
    <row r="32" spans="24:25" x14ac:dyDescent="0.25">
      <c r="X32" s="5">
        <v>42916</v>
      </c>
      <c r="Y32">
        <v>6.05</v>
      </c>
    </row>
    <row r="33" spans="24:25" x14ac:dyDescent="0.25">
      <c r="X33" s="5">
        <v>42947</v>
      </c>
      <c r="Y33">
        <v>6.04</v>
      </c>
    </row>
    <row r="34" spans="24:25" x14ac:dyDescent="0.25">
      <c r="X34" s="5">
        <v>42978</v>
      </c>
      <c r="Y34">
        <v>5.87</v>
      </c>
    </row>
    <row r="35" spans="24:25" x14ac:dyDescent="0.25">
      <c r="X35" s="5">
        <v>43008</v>
      </c>
      <c r="Y35">
        <v>5.88</v>
      </c>
    </row>
    <row r="36" spans="24:25" x14ac:dyDescent="0.25">
      <c r="X36" s="5">
        <v>43039</v>
      </c>
      <c r="Y36">
        <v>5.86</v>
      </c>
    </row>
    <row r="37" spans="24:25" x14ac:dyDescent="0.25">
      <c r="X37" s="5">
        <v>43069</v>
      </c>
      <c r="Y37">
        <v>5.85</v>
      </c>
    </row>
    <row r="38" spans="24:25" x14ac:dyDescent="0.25">
      <c r="X38" s="5">
        <v>43100</v>
      </c>
      <c r="Y38">
        <v>5.88</v>
      </c>
    </row>
    <row r="39" spans="24:25" x14ac:dyDescent="0.25">
      <c r="X39" s="5">
        <v>43131</v>
      </c>
      <c r="Y39">
        <v>5.88</v>
      </c>
    </row>
    <row r="40" spans="24:25" x14ac:dyDescent="0.25">
      <c r="X40" s="5">
        <v>43159</v>
      </c>
      <c r="Y40">
        <v>5.91</v>
      </c>
    </row>
    <row r="41" spans="24:25" x14ac:dyDescent="0.25">
      <c r="X41" s="5">
        <v>43190</v>
      </c>
      <c r="Y41">
        <v>5.93</v>
      </c>
    </row>
    <row r="42" spans="24:25" x14ac:dyDescent="0.25">
      <c r="X42" s="5">
        <v>43220</v>
      </c>
      <c r="Y42">
        <v>5.88</v>
      </c>
    </row>
    <row r="43" spans="24:25" x14ac:dyDescent="0.25">
      <c r="X43" s="5">
        <v>43251</v>
      </c>
      <c r="Y43">
        <v>5.88</v>
      </c>
    </row>
    <row r="44" spans="24:25" x14ac:dyDescent="0.25">
      <c r="X44" s="5">
        <v>43281</v>
      </c>
      <c r="Y44">
        <v>6.07</v>
      </c>
    </row>
    <row r="45" spans="24:25" x14ac:dyDescent="0.25">
      <c r="X45" s="5">
        <v>43312</v>
      </c>
      <c r="Y45">
        <v>6.15</v>
      </c>
    </row>
    <row r="46" spans="24:25" x14ac:dyDescent="0.25">
      <c r="X46" s="5">
        <v>43343</v>
      </c>
      <c r="Y46">
        <v>6.32</v>
      </c>
    </row>
    <row r="47" spans="24:25" x14ac:dyDescent="0.25">
      <c r="X47" s="5">
        <v>43373</v>
      </c>
      <c r="Y47">
        <v>6.44</v>
      </c>
    </row>
    <row r="48" spans="24:25" x14ac:dyDescent="0.25">
      <c r="X48" s="5">
        <v>43404</v>
      </c>
      <c r="Y48">
        <v>6.42</v>
      </c>
    </row>
    <row r="49" spans="24:25" x14ac:dyDescent="0.25">
      <c r="X49" s="5">
        <v>43434</v>
      </c>
      <c r="Y49">
        <v>6.37</v>
      </c>
    </row>
    <row r="50" spans="24:25" x14ac:dyDescent="0.25">
      <c r="X50" s="5">
        <v>43465</v>
      </c>
      <c r="Y50">
        <v>6.43</v>
      </c>
    </row>
    <row r="51" spans="24:25" x14ac:dyDescent="0.25">
      <c r="X51" s="5">
        <v>43496</v>
      </c>
      <c r="Y51">
        <v>6.36</v>
      </c>
    </row>
    <row r="52" spans="24:25" x14ac:dyDescent="0.25">
      <c r="X52" s="5">
        <v>43524</v>
      </c>
      <c r="Y52">
        <v>6.27</v>
      </c>
    </row>
    <row r="53" spans="24:25" x14ac:dyDescent="0.25">
      <c r="X53" s="5">
        <v>43555</v>
      </c>
      <c r="Y53">
        <v>6.31</v>
      </c>
    </row>
    <row r="54" spans="24:25" x14ac:dyDescent="0.25">
      <c r="X54" s="5">
        <v>43585</v>
      </c>
      <c r="Y54">
        <v>6.08</v>
      </c>
    </row>
    <row r="55" spans="24:25" x14ac:dyDescent="0.25">
      <c r="X55" s="5">
        <v>43616</v>
      </c>
      <c r="Y55">
        <v>5.92</v>
      </c>
    </row>
    <row r="56" spans="24:25" x14ac:dyDescent="0.25">
      <c r="X56" s="5">
        <v>43646</v>
      </c>
      <c r="Y56">
        <v>5.76</v>
      </c>
    </row>
    <row r="57" spans="24:25" x14ac:dyDescent="0.25">
      <c r="X57" s="5">
        <v>43677</v>
      </c>
      <c r="Y57">
        <v>5.61</v>
      </c>
    </row>
    <row r="58" spans="24:25" x14ac:dyDescent="0.25">
      <c r="X58" s="5">
        <v>43708</v>
      </c>
      <c r="Y58">
        <v>5.38</v>
      </c>
    </row>
    <row r="59" spans="24:25" x14ac:dyDescent="0.25">
      <c r="X59" s="5">
        <v>43738</v>
      </c>
      <c r="Y59">
        <v>5.32</v>
      </c>
    </row>
    <row r="60" spans="24:25" x14ac:dyDescent="0.25">
      <c r="X60" s="5">
        <v>43769</v>
      </c>
      <c r="Y60">
        <v>5.07</v>
      </c>
    </row>
    <row r="61" spans="24:25" x14ac:dyDescent="0.25">
      <c r="X61" s="5">
        <v>43799</v>
      </c>
      <c r="Y61">
        <v>5</v>
      </c>
    </row>
    <row r="62" spans="24:25" x14ac:dyDescent="0.25">
      <c r="X62" s="5">
        <v>43830</v>
      </c>
      <c r="Y62">
        <v>5.0199999999999996</v>
      </c>
    </row>
    <row r="63" spans="24:25" x14ac:dyDescent="0.25">
      <c r="X63" s="5">
        <v>43861</v>
      </c>
      <c r="Y63">
        <v>4.9400000000000004</v>
      </c>
    </row>
    <row r="64" spans="24:25" x14ac:dyDescent="0.25">
      <c r="X64" s="5">
        <v>43890</v>
      </c>
      <c r="Y64">
        <v>4.96</v>
      </c>
    </row>
    <row r="65" spans="24:25" x14ac:dyDescent="0.25">
      <c r="X65" s="5">
        <v>43921</v>
      </c>
      <c r="Y65">
        <v>4.92</v>
      </c>
    </row>
    <row r="66" spans="24:25" x14ac:dyDescent="0.25">
      <c r="X66" s="5">
        <v>43951</v>
      </c>
      <c r="Y66">
        <v>4.08</v>
      </c>
    </row>
    <row r="67" spans="24:25" x14ac:dyDescent="0.25">
      <c r="X67" s="5">
        <v>43982</v>
      </c>
      <c r="Y67">
        <v>3.7</v>
      </c>
    </row>
    <row r="68" spans="24:25" x14ac:dyDescent="0.25">
      <c r="X68" s="5">
        <v>44012</v>
      </c>
      <c r="Y68">
        <v>3.51</v>
      </c>
    </row>
    <row r="69" spans="24:25" x14ac:dyDescent="0.25">
      <c r="X69" s="5">
        <v>44043</v>
      </c>
      <c r="Y69">
        <v>3.42</v>
      </c>
    </row>
    <row r="70" spans="24:25" x14ac:dyDescent="0.25">
      <c r="X70" s="5">
        <v>44074</v>
      </c>
      <c r="Y70">
        <v>3.42</v>
      </c>
    </row>
    <row r="71" spans="24:25" x14ac:dyDescent="0.25">
      <c r="X71" s="5">
        <v>44104</v>
      </c>
      <c r="Y71">
        <v>3.38</v>
      </c>
    </row>
    <row r="72" spans="24:25" x14ac:dyDescent="0.25">
      <c r="X72" s="5">
        <v>44135</v>
      </c>
      <c r="Y72">
        <v>3.28</v>
      </c>
    </row>
    <row r="73" spans="24:25" x14ac:dyDescent="0.25">
      <c r="X73" s="5">
        <v>44165</v>
      </c>
      <c r="Y73">
        <v>3.15</v>
      </c>
    </row>
    <row r="74" spans="24:25" x14ac:dyDescent="0.25">
      <c r="X74" s="5">
        <v>44196</v>
      </c>
      <c r="Y74">
        <v>3.15</v>
      </c>
    </row>
    <row r="75" spans="24:25" x14ac:dyDescent="0.25">
      <c r="X75" s="5">
        <v>44227</v>
      </c>
      <c r="Y75">
        <v>3.14</v>
      </c>
    </row>
    <row r="76" spans="24:25" x14ac:dyDescent="0.25">
      <c r="X76" s="5">
        <v>44255</v>
      </c>
      <c r="Y76">
        <v>3.24</v>
      </c>
    </row>
    <row r="77" spans="24:25" x14ac:dyDescent="0.25">
      <c r="X77" s="5">
        <v>44286</v>
      </c>
      <c r="Y77">
        <v>3.2</v>
      </c>
    </row>
    <row r="78" spans="24:25" x14ac:dyDescent="0.25">
      <c r="X78" s="5">
        <v>44316</v>
      </c>
      <c r="Y78">
        <v>3.17</v>
      </c>
    </row>
    <row r="79" spans="24:25" x14ac:dyDescent="0.25">
      <c r="X79" s="5">
        <v>44347</v>
      </c>
      <c r="Y79">
        <v>3.17</v>
      </c>
    </row>
    <row r="80" spans="24:25" x14ac:dyDescent="0.25">
      <c r="X80" s="5">
        <v>44377</v>
      </c>
      <c r="Y80">
        <v>3.12</v>
      </c>
    </row>
    <row r="81" spans="24:25" x14ac:dyDescent="0.25">
      <c r="X81" s="5">
        <v>44408</v>
      </c>
      <c r="Y81">
        <v>3.15</v>
      </c>
    </row>
    <row r="82" spans="24:25" x14ac:dyDescent="0.25">
      <c r="X82" s="5">
        <v>44439</v>
      </c>
      <c r="Y82">
        <v>3.17</v>
      </c>
    </row>
    <row r="83" spans="24:25" x14ac:dyDescent="0.25">
      <c r="X83" s="5">
        <v>44469</v>
      </c>
      <c r="Y83">
        <v>3.16</v>
      </c>
    </row>
    <row r="84" spans="24:25" x14ac:dyDescent="0.25">
      <c r="X84" s="5">
        <v>44500</v>
      </c>
      <c r="Y84">
        <v>3.24</v>
      </c>
    </row>
    <row r="85" spans="24:25" x14ac:dyDescent="0.25">
      <c r="X85" s="5">
        <v>44530</v>
      </c>
      <c r="Y85">
        <v>3.29</v>
      </c>
    </row>
    <row r="86" spans="24:25" x14ac:dyDescent="0.25">
      <c r="X86" s="5">
        <v>44561</v>
      </c>
      <c r="Y86">
        <v>3.33</v>
      </c>
    </row>
    <row r="87" spans="24:25" x14ac:dyDescent="0.25">
      <c r="X87" s="5">
        <v>44592</v>
      </c>
      <c r="Y87">
        <v>3.43</v>
      </c>
    </row>
    <row r="88" spans="24:25" x14ac:dyDescent="0.25">
      <c r="X88" s="5">
        <v>44620</v>
      </c>
      <c r="Y88">
        <v>3.25</v>
      </c>
    </row>
    <row r="89" spans="24:25" x14ac:dyDescent="0.25">
      <c r="X89" s="5">
        <v>44651</v>
      </c>
      <c r="Y89">
        <v>3.3</v>
      </c>
    </row>
    <row r="90" spans="24:25" x14ac:dyDescent="0.25">
      <c r="X90" s="5">
        <v>44681</v>
      </c>
      <c r="Y90">
        <v>3.47</v>
      </c>
    </row>
    <row r="91" spans="24:25" x14ac:dyDescent="0.25">
      <c r="X91" s="5">
        <v>44712</v>
      </c>
      <c r="Y91">
        <v>4</v>
      </c>
    </row>
    <row r="92" spans="24:25" x14ac:dyDescent="0.25">
      <c r="X92" s="5">
        <v>44742</v>
      </c>
      <c r="Y92">
        <v>4.45</v>
      </c>
    </row>
    <row r="93" spans="24:25" x14ac:dyDescent="0.25">
      <c r="X93" s="5">
        <v>44773</v>
      </c>
      <c r="Y93">
        <v>4.7300000000000004</v>
      </c>
    </row>
    <row r="94" spans="24:25" x14ac:dyDescent="0.25">
      <c r="X94" s="5">
        <v>44804</v>
      </c>
      <c r="Y94">
        <v>4.96</v>
      </c>
    </row>
    <row r="95" spans="24:25" x14ac:dyDescent="0.25">
      <c r="X95" s="5">
        <v>44834</v>
      </c>
      <c r="Y95">
        <v>5.24</v>
      </c>
    </row>
    <row r="96" spans="24:25" x14ac:dyDescent="0.25">
      <c r="X96" s="5">
        <v>44865</v>
      </c>
      <c r="Y96">
        <v>5.98</v>
      </c>
    </row>
    <row r="97" spans="24:25" x14ac:dyDescent="0.25">
      <c r="X97" s="5">
        <v>44895</v>
      </c>
      <c r="Y97">
        <v>5.93</v>
      </c>
    </row>
    <row r="98" spans="24:25" x14ac:dyDescent="0.25">
      <c r="X98" s="5">
        <v>44926</v>
      </c>
      <c r="Y98">
        <v>6.15</v>
      </c>
    </row>
    <row r="99" spans="24:25" x14ac:dyDescent="0.25">
      <c r="X99" s="5">
        <v>44957</v>
      </c>
      <c r="Y99">
        <v>6.18</v>
      </c>
    </row>
    <row r="100" spans="24:25" x14ac:dyDescent="0.25">
      <c r="X100" s="5">
        <v>44985</v>
      </c>
      <c r="Y100">
        <v>6.39</v>
      </c>
    </row>
    <row r="101" spans="24:25" x14ac:dyDescent="0.25">
      <c r="X101" s="5">
        <v>45016</v>
      </c>
      <c r="Y101">
        <v>6.45</v>
      </c>
    </row>
    <row r="102" spans="24:25" x14ac:dyDescent="0.25">
      <c r="X102" s="5">
        <v>45046</v>
      </c>
      <c r="Y102">
        <v>6.46</v>
      </c>
    </row>
    <row r="103" spans="24:25" x14ac:dyDescent="0.25">
      <c r="X103" s="5">
        <v>45077</v>
      </c>
      <c r="Y103">
        <v>6.54</v>
      </c>
    </row>
    <row r="104" spans="24:25" x14ac:dyDescent="0.25">
      <c r="X104" s="5">
        <v>45107</v>
      </c>
      <c r="Y104">
        <v>6.51</v>
      </c>
    </row>
    <row r="105" spans="24:25" x14ac:dyDescent="0.25">
      <c r="X105" s="5">
        <v>45138</v>
      </c>
      <c r="Y105">
        <v>6.44</v>
      </c>
    </row>
    <row r="106" spans="24:25" x14ac:dyDescent="0.25">
      <c r="X106" s="5">
        <v>45169</v>
      </c>
      <c r="Y106">
        <v>6.55</v>
      </c>
    </row>
    <row r="107" spans="24:25" x14ac:dyDescent="0.25">
      <c r="X107" s="5">
        <v>45199</v>
      </c>
      <c r="Y107">
        <v>6.59</v>
      </c>
    </row>
    <row r="108" spans="24:25" x14ac:dyDescent="0.25">
      <c r="X108" s="5">
        <v>45230</v>
      </c>
      <c r="Y108">
        <v>6.68</v>
      </c>
    </row>
    <row r="109" spans="24:25" x14ac:dyDescent="0.25">
      <c r="X109" s="5">
        <v>45260</v>
      </c>
      <c r="Y109">
        <v>6.75</v>
      </c>
    </row>
    <row r="110" spans="24:25" x14ac:dyDescent="0.25">
      <c r="X110" s="5">
        <v>45291</v>
      </c>
      <c r="Y110">
        <v>6.7</v>
      </c>
    </row>
    <row r="111" spans="24:25" x14ac:dyDescent="0.25">
      <c r="X111" s="5">
        <v>45322</v>
      </c>
      <c r="Y111">
        <v>6.68</v>
      </c>
    </row>
    <row r="112" spans="24:25" x14ac:dyDescent="0.25">
      <c r="X112" s="5">
        <v>45351</v>
      </c>
      <c r="Y112">
        <v>6.59</v>
      </c>
    </row>
    <row r="113" spans="24:25" x14ac:dyDescent="0.25">
      <c r="X113" s="5">
        <v>45382</v>
      </c>
      <c r="Y113">
        <v>6.55</v>
      </c>
    </row>
    <row r="114" spans="24:25" x14ac:dyDescent="0.25">
      <c r="X114" s="5">
        <v>45412</v>
      </c>
      <c r="Y114">
        <v>6.51</v>
      </c>
    </row>
    <row r="115" spans="24:25" x14ac:dyDescent="0.25">
      <c r="X115" s="5">
        <v>45443</v>
      </c>
      <c r="Y115">
        <v>6.56</v>
      </c>
    </row>
    <row r="116" spans="24:25" x14ac:dyDescent="0.25">
      <c r="X116" s="5">
        <v>45473</v>
      </c>
      <c r="Y116">
        <v>6.53</v>
      </c>
    </row>
    <row r="117" spans="24:25" x14ac:dyDescent="0.25">
      <c r="X117" s="5">
        <v>45504</v>
      </c>
      <c r="Y117">
        <v>6.48</v>
      </c>
    </row>
    <row r="118" spans="24:25" x14ac:dyDescent="0.25">
      <c r="X118" s="5">
        <v>45535</v>
      </c>
      <c r="Y118">
        <v>6.47</v>
      </c>
    </row>
    <row r="119" spans="24:25" x14ac:dyDescent="0.25">
      <c r="X119" s="5">
        <v>45565</v>
      </c>
      <c r="Y119">
        <v>6.53</v>
      </c>
    </row>
    <row r="120" spans="24:25" x14ac:dyDescent="0.25">
      <c r="X120" s="5">
        <v>45596</v>
      </c>
      <c r="Y120">
        <v>6.46</v>
      </c>
    </row>
    <row r="121" spans="24:25" x14ac:dyDescent="0.25">
      <c r="X121" s="5">
        <v>45626</v>
      </c>
      <c r="Y121">
        <v>6.49</v>
      </c>
    </row>
    <row r="122" spans="24:25" x14ac:dyDescent="0.25">
      <c r="X122" s="5">
        <v>45657</v>
      </c>
      <c r="Y122">
        <v>6.61</v>
      </c>
    </row>
    <row r="123" spans="24:25" x14ac:dyDescent="0.25">
      <c r="X123" s="5">
        <v>45688</v>
      </c>
      <c r="Y123">
        <v>6.57</v>
      </c>
    </row>
    <row r="124" spans="24:25" x14ac:dyDescent="0.25">
      <c r="X124" s="5">
        <v>45716</v>
      </c>
      <c r="Y124">
        <v>6.33</v>
      </c>
    </row>
    <row r="125" spans="24:25" x14ac:dyDescent="0.25">
      <c r="X125" s="5">
        <v>45747</v>
      </c>
      <c r="Y125">
        <v>6.27</v>
      </c>
    </row>
    <row r="126" spans="24:25" x14ac:dyDescent="0.25">
      <c r="X126" s="5">
        <v>45777</v>
      </c>
      <c r="Y126">
        <v>5.91</v>
      </c>
    </row>
    <row r="127" spans="24:25" x14ac:dyDescent="0.25">
      <c r="X127" s="5">
        <v>45808</v>
      </c>
      <c r="Y127">
        <v>5.78</v>
      </c>
    </row>
    <row r="128" spans="24:25" x14ac:dyDescent="0.25">
      <c r="X128" s="5">
        <v>45838</v>
      </c>
      <c r="Y128">
        <v>5.38</v>
      </c>
    </row>
    <row r="129" spans="24:25" x14ac:dyDescent="0.25">
      <c r="X129" s="5">
        <v>45869</v>
      </c>
      <c r="Y129">
        <v>5.35</v>
      </c>
    </row>
    <row r="130" spans="24:25" x14ac:dyDescent="0.25">
      <c r="X130" s="5">
        <v>45900</v>
      </c>
      <c r="Y130">
        <v>5.38</v>
      </c>
    </row>
    <row r="131" spans="24:25" x14ac:dyDescent="0.25">
      <c r="X131" s="5">
        <v>45930</v>
      </c>
      <c r="Y131">
        <v>5.43</v>
      </c>
    </row>
    <row r="132" spans="24:25" x14ac:dyDescent="0.25">
      <c r="X132" s="5">
        <v>45961</v>
      </c>
      <c r="Y132">
        <v>5.44</v>
      </c>
    </row>
    <row r="133" spans="24:25" x14ac:dyDescent="0.25">
      <c r="X133" s="5">
        <f>EDATE(X132,1)</f>
        <v>45991</v>
      </c>
      <c r="Y133">
        <v>5.31</v>
      </c>
    </row>
    <row r="134" spans="24:25" x14ac:dyDescent="0.25">
      <c r="X134" s="5">
        <f>EDATE(X133,1)</f>
        <v>46021</v>
      </c>
      <c r="Y134">
        <v>5.31</v>
      </c>
    </row>
    <row r="135" spans="24:25" x14ac:dyDescent="0.25">
      <c r="X135" s="5">
        <f t="shared" ref="X135:X139" si="0">EDATE(X134,1)</f>
        <v>46052</v>
      </c>
      <c r="Y135">
        <v>5.31</v>
      </c>
    </row>
    <row r="136" spans="24:25" x14ac:dyDescent="0.25">
      <c r="X136" s="5">
        <f t="shared" si="0"/>
        <v>46081</v>
      </c>
      <c r="Y136">
        <v>5.31</v>
      </c>
    </row>
    <row r="137" spans="24:25" x14ac:dyDescent="0.25">
      <c r="X137" s="5">
        <f t="shared" si="0"/>
        <v>46109</v>
      </c>
      <c r="Y137">
        <v>5.31</v>
      </c>
    </row>
    <row r="138" spans="24:25" x14ac:dyDescent="0.25">
      <c r="X138" s="5">
        <f t="shared" si="0"/>
        <v>46140</v>
      </c>
      <c r="Y138">
        <v>5.31</v>
      </c>
    </row>
    <row r="139" spans="24:25" x14ac:dyDescent="0.25">
      <c r="X139" s="5">
        <f t="shared" si="0"/>
        <v>46170</v>
      </c>
      <c r="Y139">
        <v>5.31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current repo rate</vt:lpstr>
      <vt:lpstr>Lagged Repo Rate</vt:lpstr>
      <vt:lpstr>Multiple Regression</vt:lpstr>
      <vt:lpstr>Inflation</vt:lpstr>
      <vt:lpstr>Data Sheet</vt:lpstr>
      <vt:lpstr>Visualization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Tushar Dey</cp:lastModifiedBy>
  <dcterms:created xsi:type="dcterms:W3CDTF">2025-12-14T01:58:32Z</dcterms:created>
  <dcterms:modified xsi:type="dcterms:W3CDTF">2025-12-15T02:15:11Z</dcterms:modified>
</cp:coreProperties>
</file>